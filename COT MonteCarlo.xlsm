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Ex1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32\Documents\github\montecarlo\montecarlo\"/>
    </mc:Choice>
  </mc:AlternateContent>
  <xr:revisionPtr revIDLastSave="0" documentId="13_ncr:1_{EE97B445-F0D5-439D-AF5C-BA75860CEAC7}" xr6:coauthVersionLast="47" xr6:coauthVersionMax="47" xr10:uidLastSave="{00000000-0000-0000-0000-000000000000}"/>
  <bookViews>
    <workbookView xWindow="-108" yWindow="-108" windowWidth="23256" windowHeight="12456" activeTab="1" xr2:uid="{790159FE-0445-4AF7-BB0C-6DE38A22775F}"/>
  </bookViews>
  <sheets>
    <sheet name="Método dif finitas" sheetId="1" r:id="rId1"/>
    <sheet name="Monte Carlo Macro" sheetId="3" r:id="rId2"/>
  </sheets>
  <definedNames>
    <definedName name="_xlnm._FilterDatabase" localSheetId="0" hidden="1">'Método dif finitas'!$C$62:$D$75</definedName>
    <definedName name="_xlchart.v1.0" hidden="1">'Monte Carlo Macro'!$AK$2:$AK$101</definedName>
    <definedName name="_xlchart.v1.1" hidden="1">'Monte Carlo Macro'!$AK$2:$AK$201</definedName>
    <definedName name="_xlchart.v1.2" hidden="1">'Monte Carlo Macro'!$AK$2:$AK$3</definedName>
    <definedName name="_xlchart.v1.3" hidden="1">'Monte Carlo Macro'!$AK:$AK</definedName>
    <definedName name="_xlchart.v1.4" hidden="1">('Monte Carlo Macro'!$AK$2:$AK$3,'Monte Carlo Macro'!$AK$5,'Monte Carlo Macro'!$AK$9,'Monte Carlo Macro'!$AK$5,'Monte Carlo Macro'!$AK$5)</definedName>
    <definedName name="_xlchart.v1.5" hidden="1">('Monte Carlo Macro'!$AK$2:$AK$3,'Monte Carlo Macro'!$AK$5,'Monte Carlo Macro'!$AK$9,'Monte Carlo Macro'!$AK$5,'Monte Carlo Macro'!$AK$5,'Monte Carlo Macro'!$AK$5,'Monte Carlo Macro'!$AK$5,'Monte Carlo Macro'!$AK$2:$AK$3)</definedName>
    <definedName name="A_CI">'Método dif finitas'!$D$22</definedName>
    <definedName name="A_CT">'Método dif finitas'!$D$17</definedName>
    <definedName name="b_CI">'Método dif finitas'!$D$23</definedName>
    <definedName name="b_CT">'Método dif finitas'!$D$18</definedName>
    <definedName name="Blank_CI">'Método dif finitas'!$D$29</definedName>
    <definedName name="blank_CT">'Método dif finitas'!$D$28</definedName>
    <definedName name="F_dil">'Método dif finitas'!$D$27</definedName>
    <definedName name="F_MatrizCI">'Método dif finitas'!$D$26</definedName>
    <definedName name="F_MatrizCT">'Método dif finitas'!$D$21</definedName>
    <definedName name="F_RecupCI">'Método dif finitas'!$D$25</definedName>
    <definedName name="F_RecupCT">'Método dif finitas'!$D$20</definedName>
    <definedName name="m_CI">'Método dif finitas'!$D$24</definedName>
    <definedName name="m_CT">'Método dif finitas'!$D$19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3" l="1"/>
  <c r="C7" i="3"/>
  <c r="E19" i="1"/>
  <c r="E20" i="1"/>
  <c r="E25" i="1"/>
  <c r="E26" i="1"/>
  <c r="E21" i="1"/>
  <c r="D33" i="1"/>
  <c r="D32" i="1"/>
  <c r="D31" i="1"/>
  <c r="P2" i="3"/>
  <c r="Q2" i="3"/>
  <c r="R2" i="3" s="1"/>
  <c r="P3" i="3"/>
  <c r="E17" i="1"/>
  <c r="E27" i="1"/>
  <c r="E23" i="1"/>
  <c r="E22" i="1"/>
  <c r="E18" i="1"/>
  <c r="G7" i="3"/>
  <c r="D7" i="3"/>
  <c r="H7" i="3"/>
  <c r="I7" i="3"/>
  <c r="K7" i="3"/>
  <c r="L7" i="3"/>
  <c r="M7" i="3"/>
  <c r="N7" i="3"/>
  <c r="R3" i="3"/>
  <c r="Q3" i="3"/>
  <c r="F7" i="3"/>
  <c r="J7" i="3" l="1"/>
  <c r="Q7" i="3" s="1"/>
  <c r="E7" i="3"/>
  <c r="P7" i="3" s="1"/>
  <c r="R7" i="3" l="1"/>
  <c r="B41" i="1"/>
  <c r="D41" i="1"/>
  <c r="E41" i="1"/>
  <c r="F41" i="1"/>
  <c r="G41" i="1"/>
  <c r="H41" i="1"/>
  <c r="I41" i="1"/>
  <c r="J41" i="1"/>
  <c r="K41" i="1"/>
  <c r="L41" i="1"/>
  <c r="M41" i="1"/>
  <c r="N41" i="1"/>
  <c r="O41" i="1"/>
  <c r="C42" i="1"/>
  <c r="E42" i="1"/>
  <c r="F42" i="1"/>
  <c r="G42" i="1"/>
  <c r="H42" i="1"/>
  <c r="I42" i="1"/>
  <c r="J42" i="1"/>
  <c r="K42" i="1"/>
  <c r="L42" i="1"/>
  <c r="M42" i="1"/>
  <c r="N42" i="1"/>
  <c r="O42" i="1"/>
  <c r="C43" i="1"/>
  <c r="D43" i="1"/>
  <c r="F43" i="1"/>
  <c r="G43" i="1"/>
  <c r="H43" i="1"/>
  <c r="I43" i="1"/>
  <c r="J43" i="1"/>
  <c r="K43" i="1"/>
  <c r="L43" i="1"/>
  <c r="M43" i="1"/>
  <c r="N43" i="1"/>
  <c r="O43" i="1"/>
  <c r="C46" i="1"/>
  <c r="D46" i="1"/>
  <c r="E46" i="1"/>
  <c r="F46" i="1"/>
  <c r="G46" i="1"/>
  <c r="I46" i="1"/>
  <c r="J46" i="1"/>
  <c r="K46" i="1"/>
  <c r="L46" i="1"/>
  <c r="M46" i="1"/>
  <c r="N46" i="1"/>
  <c r="O46" i="1"/>
  <c r="C47" i="1"/>
  <c r="D47" i="1"/>
  <c r="E47" i="1"/>
  <c r="F47" i="1"/>
  <c r="G47" i="1"/>
  <c r="H47" i="1"/>
  <c r="J47" i="1"/>
  <c r="K47" i="1"/>
  <c r="L47" i="1"/>
  <c r="M47" i="1"/>
  <c r="N47" i="1"/>
  <c r="O47" i="1"/>
  <c r="C48" i="1"/>
  <c r="D48" i="1"/>
  <c r="E48" i="1"/>
  <c r="F48" i="1"/>
  <c r="G48" i="1"/>
  <c r="H48" i="1"/>
  <c r="I48" i="1"/>
  <c r="K48" i="1"/>
  <c r="L48" i="1"/>
  <c r="M48" i="1"/>
  <c r="N48" i="1"/>
  <c r="O48" i="1"/>
  <c r="C51" i="1"/>
  <c r="D51" i="1"/>
  <c r="E51" i="1"/>
  <c r="F51" i="1"/>
  <c r="G51" i="1"/>
  <c r="H51" i="1"/>
  <c r="I51" i="1"/>
  <c r="J51" i="1"/>
  <c r="K51" i="1"/>
  <c r="L51" i="1"/>
  <c r="N51" i="1"/>
  <c r="O51" i="1"/>
  <c r="C52" i="1"/>
  <c r="D52" i="1"/>
  <c r="E52" i="1"/>
  <c r="F52" i="1"/>
  <c r="G52" i="1"/>
  <c r="H52" i="1"/>
  <c r="I52" i="1"/>
  <c r="J52" i="1"/>
  <c r="K52" i="1"/>
  <c r="L52" i="1"/>
  <c r="M52" i="1"/>
  <c r="O52" i="1"/>
  <c r="C53" i="1"/>
  <c r="D53" i="1"/>
  <c r="E53" i="1"/>
  <c r="F53" i="1"/>
  <c r="G53" i="1"/>
  <c r="H53" i="1"/>
  <c r="I53" i="1"/>
  <c r="J53" i="1"/>
  <c r="K53" i="1"/>
  <c r="L53" i="1"/>
  <c r="M53" i="1"/>
  <c r="N53" i="1"/>
  <c r="B53" i="1"/>
  <c r="B52" i="1"/>
  <c r="B51" i="1"/>
  <c r="B48" i="1"/>
  <c r="B47" i="1"/>
  <c r="B46" i="1"/>
  <c r="B43" i="1"/>
  <c r="B42" i="1"/>
  <c r="C39" i="1" l="1"/>
  <c r="C41" i="1" s="1"/>
  <c r="H39" i="1"/>
  <c r="H46" i="1" s="1"/>
  <c r="E29" i="1"/>
  <c r="O39" i="1" s="1"/>
  <c r="O53" i="1" s="1"/>
  <c r="E28" i="1"/>
  <c r="N39" i="1" s="1"/>
  <c r="N52" i="1" s="1"/>
  <c r="M39" i="1"/>
  <c r="M51" i="1" s="1"/>
  <c r="D26" i="1"/>
  <c r="D25" i="1"/>
  <c r="D21" i="1"/>
  <c r="D20" i="1"/>
  <c r="E39" i="1"/>
  <c r="E43" i="1" s="1"/>
  <c r="D39" i="1"/>
  <c r="D42" i="1" s="1"/>
  <c r="I39" i="1"/>
  <c r="I47" i="1" s="1"/>
  <c r="E24" i="1"/>
  <c r="J39" i="1" s="1"/>
  <c r="J48" i="1" s="1"/>
  <c r="F39" i="1" l="1"/>
  <c r="F44" i="1" s="1"/>
  <c r="F55" i="1" s="1"/>
  <c r="O44" i="1"/>
  <c r="B44" i="1"/>
  <c r="C44" i="1"/>
  <c r="D44" i="1"/>
  <c r="D55" i="1" s="1"/>
  <c r="E44" i="1"/>
  <c r="G44" i="1"/>
  <c r="H44" i="1"/>
  <c r="H55" i="1" s="1"/>
  <c r="M44" i="1"/>
  <c r="M55" i="1" s="1"/>
  <c r="I44" i="1"/>
  <c r="J44" i="1"/>
  <c r="K44" i="1"/>
  <c r="L44" i="1"/>
  <c r="N44" i="1"/>
  <c r="G39" i="1"/>
  <c r="G45" i="1" s="1"/>
  <c r="O45" i="1"/>
  <c r="M45" i="1"/>
  <c r="C45" i="1"/>
  <c r="C55" i="1" s="1"/>
  <c r="D45" i="1"/>
  <c r="E45" i="1"/>
  <c r="F45" i="1"/>
  <c r="H45" i="1"/>
  <c r="I45" i="1"/>
  <c r="J45" i="1"/>
  <c r="B45" i="1"/>
  <c r="K45" i="1"/>
  <c r="L45" i="1"/>
  <c r="N45" i="1"/>
  <c r="K39" i="1"/>
  <c r="K49" i="1" s="1"/>
  <c r="O49" i="1"/>
  <c r="C49" i="1"/>
  <c r="D49" i="1"/>
  <c r="E49" i="1"/>
  <c r="E55" i="1" s="1"/>
  <c r="F49" i="1"/>
  <c r="B49" i="1"/>
  <c r="G49" i="1"/>
  <c r="H49" i="1"/>
  <c r="I49" i="1"/>
  <c r="M49" i="1"/>
  <c r="J49" i="1"/>
  <c r="L49" i="1"/>
  <c r="N49" i="1"/>
  <c r="L39" i="1"/>
  <c r="L50" i="1" s="1"/>
  <c r="O50" i="1"/>
  <c r="C50" i="1"/>
  <c r="D50" i="1"/>
  <c r="E50" i="1"/>
  <c r="F50" i="1"/>
  <c r="B50" i="1"/>
  <c r="G50" i="1"/>
  <c r="I50" i="1"/>
  <c r="H50" i="1"/>
  <c r="J50" i="1"/>
  <c r="K50" i="1"/>
  <c r="M50" i="1"/>
  <c r="N50" i="1"/>
  <c r="I55" i="1" l="1"/>
  <c r="O55" i="1"/>
  <c r="N55" i="1"/>
  <c r="G55" i="1"/>
  <c r="L55" i="1"/>
  <c r="K55" i="1"/>
  <c r="J55" i="1"/>
  <c r="B55" i="1"/>
  <c r="H56" i="1" s="1"/>
  <c r="J56" i="1" l="1"/>
  <c r="L56" i="1"/>
  <c r="L57" i="1" s="1"/>
  <c r="K56" i="1"/>
  <c r="O56" i="1"/>
  <c r="O59" i="1" s="1"/>
  <c r="F56" i="1"/>
  <c r="F57" i="1" s="1"/>
  <c r="G56" i="1"/>
  <c r="G59" i="1" s="1"/>
  <c r="N56" i="1"/>
  <c r="N60" i="1" s="1"/>
  <c r="J57" i="1"/>
  <c r="J59" i="1"/>
  <c r="J60" i="1"/>
  <c r="K57" i="1"/>
  <c r="K59" i="1"/>
  <c r="K60" i="1"/>
  <c r="H57" i="1"/>
  <c r="H59" i="1"/>
  <c r="H60" i="1"/>
  <c r="L60" i="1"/>
  <c r="O57" i="1"/>
  <c r="O60" i="1"/>
  <c r="C56" i="1"/>
  <c r="M56" i="1"/>
  <c r="D56" i="1"/>
  <c r="E56" i="1"/>
  <c r="I56" i="1"/>
  <c r="L59" i="1" l="1"/>
  <c r="G57" i="1"/>
  <c r="N57" i="1"/>
  <c r="F60" i="1"/>
  <c r="G60" i="1"/>
  <c r="F59" i="1"/>
  <c r="B66" i="1" s="1"/>
  <c r="N59" i="1"/>
  <c r="B74" i="1" s="1"/>
  <c r="B68" i="1"/>
  <c r="B71" i="1"/>
  <c r="B67" i="1"/>
  <c r="B75" i="1"/>
  <c r="B70" i="1"/>
  <c r="B72" i="1"/>
  <c r="E57" i="1"/>
  <c r="E59" i="1"/>
  <c r="E60" i="1"/>
  <c r="D57" i="1"/>
  <c r="D59" i="1"/>
  <c r="D60" i="1"/>
  <c r="M57" i="1"/>
  <c r="M59" i="1"/>
  <c r="M60" i="1"/>
  <c r="I57" i="1"/>
  <c r="I59" i="1"/>
  <c r="I60" i="1"/>
  <c r="C57" i="1"/>
  <c r="C59" i="1"/>
  <c r="B63" i="1" s="1"/>
  <c r="C60" i="1"/>
  <c r="B57" i="1" l="1"/>
  <c r="B73" i="1"/>
  <c r="B64" i="1"/>
  <c r="B65" i="1"/>
  <c r="B69" i="1"/>
</calcChain>
</file>

<file path=xl/sharedStrings.xml><?xml version="1.0" encoding="utf-8"?>
<sst xmlns="http://schemas.openxmlformats.org/spreadsheetml/2006/main" count="161" uniqueCount="58">
  <si>
    <t>Modelo</t>
  </si>
  <si>
    <t>COT</t>
  </si>
  <si>
    <t>Para 𝐹_(𝑑𝑖𝑙 𝐶𝑇) = 𝐹_(𝑑𝑖𝑙 𝐶I) = F_(dil)</t>
  </si>
  <si>
    <t>Nomenclatura</t>
  </si>
  <si>
    <t>Descripción</t>
  </si>
  <si>
    <t>A_CT</t>
  </si>
  <si>
    <t>Señal analítica del CT</t>
  </si>
  <si>
    <t>Valor</t>
  </si>
  <si>
    <t>Desviación estándar</t>
  </si>
  <si>
    <t>b_CT</t>
  </si>
  <si>
    <t>m_CT</t>
  </si>
  <si>
    <t>Pendiente de la curva de calibración de CT</t>
  </si>
  <si>
    <t>Intercepto de la curva de calibración de CT</t>
  </si>
  <si>
    <t>F_(Recup CT)</t>
  </si>
  <si>
    <t>Factor de recuperación de CT (referente a la preparación de la muestra: filtración)</t>
  </si>
  <si>
    <t>F_(Matriz CT)</t>
  </si>
  <si>
    <t>Factor de efecto matriz de CT (referente a la supresión en la combustión)</t>
  </si>
  <si>
    <t>Intercepto de la curva de calibración de CI</t>
  </si>
  <si>
    <t>Pendiente de la curva de calibración de CI</t>
  </si>
  <si>
    <t>Factor de recuperación de CI (referente a la preparación de la muestra: filtración)</t>
  </si>
  <si>
    <t>Factor de efecto matriz de CI (referente a la supresión en la combustión)</t>
  </si>
  <si>
    <t>Señal analítica del CI</t>
  </si>
  <si>
    <t>A_CI</t>
  </si>
  <si>
    <t>b_CI</t>
  </si>
  <si>
    <t>m_CI</t>
  </si>
  <si>
    <t>F_(Recup CI)</t>
  </si>
  <si>
    <t>F_(Matriz CI)</t>
  </si>
  <si>
    <t>F_dil</t>
  </si>
  <si>
    <t>Factor de dilución (referente a la calibración de material volumétrico)</t>
  </si>
  <si>
    <t>B_CT</t>
  </si>
  <si>
    <t>Contenido de CT en el blanco</t>
  </si>
  <si>
    <t>Contenido de CI en el blanco</t>
  </si>
  <si>
    <t>B_CI</t>
  </si>
  <si>
    <t>ua</t>
  </si>
  <si>
    <t>ua/ (mg/L)</t>
  </si>
  <si>
    <t>vol alícuota/vol aforo</t>
  </si>
  <si>
    <t>mg/L</t>
  </si>
  <si>
    <t>1/(m_analito extraído /m_analito en la muestra)</t>
  </si>
  <si>
    <t>1/(m_analito detectado/m_analito extraído</t>
  </si>
  <si>
    <t>1/(m_analito extraído /m_analito en la muestra</t>
  </si>
  <si>
    <t>CT</t>
  </si>
  <si>
    <t>CI</t>
  </si>
  <si>
    <t>u(COT,xi)</t>
  </si>
  <si>
    <t>u(COT)</t>
  </si>
  <si>
    <t>u(y,xi)=(dy/dxi).u(xi)</t>
  </si>
  <si>
    <t>ci=u(y,xi)/u(xi)</t>
  </si>
  <si>
    <t>s</t>
  </si>
  <si>
    <t>value</t>
  </si>
  <si>
    <t>Distr</t>
  </si>
  <si>
    <t>Normal</t>
  </si>
  <si>
    <t>Random</t>
  </si>
  <si>
    <t>N</t>
  </si>
  <si>
    <t>s_COT</t>
  </si>
  <si>
    <t>Estimación de la incertidumbre por diferencias finitas o método Kragten</t>
  </si>
  <si>
    <t>Para graficar las contribuciones a la incertidumbre, copiar los valores de la izquierda (color gris), y pegar debajo de esta celda.</t>
  </si>
  <si>
    <t>Estimates are used for illustrative purposes.</t>
  </si>
  <si>
    <t>Unidad</t>
  </si>
  <si>
    <t>Determinación de COT (mg/L) disuelto. Método: Combustion/IR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</si>
</sst>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i/>
      <sz val="8"/>
      <color theme="8"/>
      <name val="Arial"/>
      <family val="2"/>
    </font>
    <font>
      <sz val="10"/>
      <color theme="2"/>
      <name val="Arial"/>
      <family val="2"/>
    </font>
    <font>
      <b/>
      <sz val="12"/>
      <color theme="1"/>
      <name val="Arial"/>
      <family val="2"/>
    </font>
    <font>
      <i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2" fontId="0" fillId="0" borderId="0" xfId="0" applyNumberFormat="1"/>
    <xf numFmtId="0" fontId="1" fillId="0" borderId="3" xfId="0" applyFont="1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2" borderId="0" xfId="0" applyFont="1" applyFill="1"/>
    <xf numFmtId="0" fontId="0" fillId="2" borderId="0" xfId="0" applyFill="1"/>
    <xf numFmtId="2" fontId="0" fillId="3" borderId="2" xfId="0" applyNumberFormat="1" applyFill="1" applyBorder="1"/>
    <xf numFmtId="2" fontId="0" fillId="3" borderId="1" xfId="0" applyNumberFormat="1" applyFill="1" applyBorder="1"/>
    <xf numFmtId="0" fontId="1" fillId="3" borderId="1" xfId="0" applyFont="1" applyFill="1" applyBorder="1"/>
    <xf numFmtId="0" fontId="6" fillId="0" borderId="0" xfId="0" applyFont="1"/>
    <xf numFmtId="0" fontId="6" fillId="0" borderId="9" xfId="0" applyFont="1" applyBorder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'Método dif finitas'!$C$63:$C$75</c:f>
              <c:strCache>
                <c:ptCount val="13"/>
                <c:pt idx="0">
                  <c:v>b_CT</c:v>
                </c:pt>
                <c:pt idx="1">
                  <c:v>B_CT</c:v>
                </c:pt>
                <c:pt idx="2">
                  <c:v>B_CI</c:v>
                </c:pt>
                <c:pt idx="3">
                  <c:v>F_dil</c:v>
                </c:pt>
                <c:pt idx="4">
                  <c:v>b_CI</c:v>
                </c:pt>
                <c:pt idx="5">
                  <c:v>F_(Recup CI)</c:v>
                </c:pt>
                <c:pt idx="6">
                  <c:v>F_(Recup CT)</c:v>
                </c:pt>
                <c:pt idx="7">
                  <c:v>F_(Matriz CI)</c:v>
                </c:pt>
                <c:pt idx="8">
                  <c:v>A_CI</c:v>
                </c:pt>
                <c:pt idx="9">
                  <c:v>m_CT</c:v>
                </c:pt>
                <c:pt idx="10">
                  <c:v>m_CI</c:v>
                </c:pt>
                <c:pt idx="11">
                  <c:v>F_(Matriz CT)</c:v>
                </c:pt>
                <c:pt idx="12">
                  <c:v>A_CT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cat>
            <c:strRef>
              <c:f>'Método dif finitas'!$C$63:$C$75</c:f>
              <c:strCache>
                <c:ptCount val="13"/>
                <c:pt idx="0">
                  <c:v>b_CT</c:v>
                </c:pt>
                <c:pt idx="1">
                  <c:v>B_CT</c:v>
                </c:pt>
                <c:pt idx="2">
                  <c:v>B_CI</c:v>
                </c:pt>
                <c:pt idx="3">
                  <c:v>F_dil</c:v>
                </c:pt>
                <c:pt idx="4">
                  <c:v>b_CI</c:v>
                </c:pt>
                <c:pt idx="5">
                  <c:v>F_(Recup CI)</c:v>
                </c:pt>
                <c:pt idx="6">
                  <c:v>F_(Recup CT)</c:v>
                </c:pt>
                <c:pt idx="7">
                  <c:v>F_(Matriz CI)</c:v>
                </c:pt>
                <c:pt idx="8">
                  <c:v>A_CI</c:v>
                </c:pt>
                <c:pt idx="9">
                  <c:v>m_CT</c:v>
                </c:pt>
                <c:pt idx="10">
                  <c:v>m_CI</c:v>
                </c:pt>
                <c:pt idx="11">
                  <c:v>F_(Matriz CT)</c:v>
                </c:pt>
                <c:pt idx="12">
                  <c:v>A_CT</c:v>
                </c:pt>
              </c:strCache>
            </c:strRef>
          </c:cat>
          <c:val>
            <c:numRef>
              <c:f>'Método dif finitas'!$D$63:$D$75</c:f>
              <c:numCache>
                <c:formatCode>General</c:formatCode>
                <c:ptCount val="13"/>
                <c:pt idx="0">
                  <c:v>1.9006215702361828E-3</c:v>
                </c:pt>
                <c:pt idx="1">
                  <c:v>9.9999999999980105E-3</c:v>
                </c:pt>
                <c:pt idx="2">
                  <c:v>2.9999999999997584E-2</c:v>
                </c:pt>
                <c:pt idx="3">
                  <c:v>0.1058597159432928</c:v>
                </c:pt>
                <c:pt idx="4">
                  <c:v>0.38391147502829881</c:v>
                </c:pt>
                <c:pt idx="5">
                  <c:v>0.51564103377870651</c:v>
                </c:pt>
                <c:pt idx="6">
                  <c:v>0.93907989755187771</c:v>
                </c:pt>
                <c:pt idx="7">
                  <c:v>1.2891025844467734</c:v>
                </c:pt>
                <c:pt idx="8">
                  <c:v>1.4810583219609263</c:v>
                </c:pt>
                <c:pt idx="9">
                  <c:v>2.2359045179806785</c:v>
                </c:pt>
                <c:pt idx="10">
                  <c:v>2.3438228808123078</c:v>
                </c:pt>
                <c:pt idx="11">
                  <c:v>2.3476997438797156</c:v>
                </c:pt>
                <c:pt idx="12">
                  <c:v>2.348650054664823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C0-4B8C-A2F7-6DDCD6531C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359978336"/>
        <c:axId val="1359969600"/>
      </c:barChart>
      <c:catAx>
        <c:axId val="1359978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969600"/>
        <c:crosses val="autoZero"/>
        <c:auto val="1"/>
        <c:lblAlgn val="ctr"/>
        <c:lblOffset val="100"/>
        <c:noMultiLvlLbl val="0"/>
      </c:catAx>
      <c:valAx>
        <c:axId val="1359969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C"/>
                  <a:t>u(COT,xi)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9978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31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ysClr val="window" lastClr="FFFFFF"/>
              </a:solidFill>
              <a:ln w="3175">
                <a:solidFill>
                  <a:schemeClr val="tx1"/>
                </a:solidFill>
              </a:ln>
              <a:effectLst/>
            </c:spPr>
          </c:marker>
          <c:xVal>
            <c:strRef>
              <c:f>'Monte Carlo Macro'!$T:$T</c:f>
              <c:strCache>
                <c:ptCount val="201"/>
                <c:pt idx="0">
                  <c:v>N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strCache>
            </c:strRef>
          </c:xVal>
          <c:yVal>
            <c:numRef>
              <c:f>'Monte Carlo Macro'!$AM:$AM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1.5400062510929746</c:v>
                </c:pt>
                <c:pt idx="3">
                  <c:v>6.9077011792073542</c:v>
                </c:pt>
                <c:pt idx="4">
                  <c:v>6.1399134977132404</c:v>
                </c:pt>
                <c:pt idx="5">
                  <c:v>5.5514658984135243</c:v>
                </c:pt>
                <c:pt idx="6">
                  <c:v>5.0674347403225806</c:v>
                </c:pt>
                <c:pt idx="7">
                  <c:v>5.9186174898562651</c:v>
                </c:pt>
                <c:pt idx="8">
                  <c:v>5.7389750137582896</c:v>
                </c:pt>
                <c:pt idx="9">
                  <c:v>5.3713906210234237</c:v>
                </c:pt>
                <c:pt idx="10">
                  <c:v>5.1403081938243727</c:v>
                </c:pt>
                <c:pt idx="11">
                  <c:v>5.618949998910753</c:v>
                </c:pt>
                <c:pt idx="12">
                  <c:v>6.4463972009354391</c:v>
                </c:pt>
                <c:pt idx="13">
                  <c:v>6.1752717428183699</c:v>
                </c:pt>
                <c:pt idx="14">
                  <c:v>5.9603779763586866</c:v>
                </c:pt>
                <c:pt idx="15">
                  <c:v>5.7718643327451451</c:v>
                </c:pt>
                <c:pt idx="16">
                  <c:v>5.8605184155786505</c:v>
                </c:pt>
                <c:pt idx="17">
                  <c:v>6.0228538956792077</c:v>
                </c:pt>
                <c:pt idx="18">
                  <c:v>5.9753411199867781</c:v>
                </c:pt>
                <c:pt idx="19">
                  <c:v>5.8975629149584323</c:v>
                </c:pt>
                <c:pt idx="20">
                  <c:v>6.0617417570781118</c:v>
                </c:pt>
                <c:pt idx="21">
                  <c:v>5.9398887098885806</c:v>
                </c:pt>
                <c:pt idx="22">
                  <c:v>5.8437013485522815</c:v>
                </c:pt>
                <c:pt idx="23">
                  <c:v>5.7931740387730155</c:v>
                </c:pt>
                <c:pt idx="24">
                  <c:v>5.6719218590905154</c:v>
                </c:pt>
                <c:pt idx="25">
                  <c:v>5.6379682105812039</c:v>
                </c:pt>
                <c:pt idx="26">
                  <c:v>5.555073783833909</c:v>
                </c:pt>
                <c:pt idx="27">
                  <c:v>5.4486391916400958</c:v>
                </c:pt>
                <c:pt idx="28">
                  <c:v>5.3628156197522197</c:v>
                </c:pt>
                <c:pt idx="29">
                  <c:v>5.3997578865909635</c:v>
                </c:pt>
                <c:pt idx="30">
                  <c:v>5.4034460563639728</c:v>
                </c:pt>
                <c:pt idx="31">
                  <c:v>5.333381700077636</c:v>
                </c:pt>
                <c:pt idx="32">
                  <c:v>5.3666384742752165</c:v>
                </c:pt>
                <c:pt idx="33">
                  <c:v>5.397809800477952</c:v>
                </c:pt>
                <c:pt idx="34">
                  <c:v>5.3219565828945541</c:v>
                </c:pt>
                <c:pt idx="35">
                  <c:v>5.3228822645159442</c:v>
                </c:pt>
                <c:pt idx="36">
                  <c:v>5.3788187060006996</c:v>
                </c:pt>
                <c:pt idx="37">
                  <c:v>5.3200586079402408</c:v>
                </c:pt>
                <c:pt idx="38">
                  <c:v>5.3884881166526313</c:v>
                </c:pt>
                <c:pt idx="39">
                  <c:v>5.4360147896732585</c:v>
                </c:pt>
                <c:pt idx="40">
                  <c:v>5.3937775446569551</c:v>
                </c:pt>
                <c:pt idx="41">
                  <c:v>5.4516321877398006</c:v>
                </c:pt>
                <c:pt idx="42">
                  <c:v>5.4056487446823844</c:v>
                </c:pt>
                <c:pt idx="43">
                  <c:v>5.3986269788632457</c:v>
                </c:pt>
                <c:pt idx="44">
                  <c:v>6.1412513034939984</c:v>
                </c:pt>
                <c:pt idx="45">
                  <c:v>6.1114866815953057</c:v>
                </c:pt>
                <c:pt idx="46">
                  <c:v>6.0451454858613367</c:v>
                </c:pt>
                <c:pt idx="47">
                  <c:v>5.9882274608656356</c:v>
                </c:pt>
                <c:pt idx="48">
                  <c:v>5.9255997369851903</c:v>
                </c:pt>
                <c:pt idx="49">
                  <c:v>5.8672869753848138</c:v>
                </c:pt>
                <c:pt idx="50">
                  <c:v>5.8091337622058372</c:v>
                </c:pt>
                <c:pt idx="51">
                  <c:v>5.7947440698536967</c:v>
                </c:pt>
                <c:pt idx="52">
                  <c:v>5.9038727168471228</c:v>
                </c:pt>
                <c:pt idx="53">
                  <c:v>5.8649628720023985</c:v>
                </c:pt>
                <c:pt idx="54">
                  <c:v>5.8123894556616857</c:v>
                </c:pt>
                <c:pt idx="55">
                  <c:v>5.7583196164445614</c:v>
                </c:pt>
                <c:pt idx="56">
                  <c:v>5.7064341393332798</c:v>
                </c:pt>
                <c:pt idx="57">
                  <c:v>5.7583531961342072</c:v>
                </c:pt>
                <c:pt idx="58">
                  <c:v>5.7973973977947431</c:v>
                </c:pt>
                <c:pt idx="59">
                  <c:v>5.8296070475200947</c:v>
                </c:pt>
                <c:pt idx="60">
                  <c:v>5.7825424066622384</c:v>
                </c:pt>
                <c:pt idx="61">
                  <c:v>5.7597638349098856</c:v>
                </c:pt>
                <c:pt idx="62">
                  <c:v>5.715537656019805</c:v>
                </c:pt>
                <c:pt idx="63">
                  <c:v>5.6693068367024226</c:v>
                </c:pt>
                <c:pt idx="64">
                  <c:v>5.7213060379085201</c:v>
                </c:pt>
                <c:pt idx="65">
                  <c:v>5.6955283319658587</c:v>
                </c:pt>
                <c:pt idx="66">
                  <c:v>5.835799182126185</c:v>
                </c:pt>
                <c:pt idx="67">
                  <c:v>5.8459343242508721</c:v>
                </c:pt>
                <c:pt idx="68">
                  <c:v>5.9253455764020657</c:v>
                </c:pt>
                <c:pt idx="69">
                  <c:v>5.8975222681427288</c:v>
                </c:pt>
                <c:pt idx="70">
                  <c:v>5.8967401689792727</c:v>
                </c:pt>
                <c:pt idx="71">
                  <c:v>5.8549458965809951</c:v>
                </c:pt>
                <c:pt idx="72">
                  <c:v>5.8308679407676474</c:v>
                </c:pt>
                <c:pt idx="73">
                  <c:v>5.8069556927296881</c:v>
                </c:pt>
                <c:pt idx="74">
                  <c:v>5.7670804727139888</c:v>
                </c:pt>
                <c:pt idx="75">
                  <c:v>5.734208803235167</c:v>
                </c:pt>
                <c:pt idx="76">
                  <c:v>5.7233895953711968</c:v>
                </c:pt>
                <c:pt idx="77">
                  <c:v>5.8211244026397448</c:v>
                </c:pt>
                <c:pt idx="78">
                  <c:v>5.7937508306043801</c:v>
                </c:pt>
                <c:pt idx="79">
                  <c:v>5.7567317659735044</c:v>
                </c:pt>
                <c:pt idx="80">
                  <c:v>5.8342372179647297</c:v>
                </c:pt>
                <c:pt idx="81">
                  <c:v>5.7982661110860967</c:v>
                </c:pt>
                <c:pt idx="82">
                  <c:v>5.7952881129212042</c:v>
                </c:pt>
                <c:pt idx="83">
                  <c:v>5.8047399189826487</c:v>
                </c:pt>
                <c:pt idx="84">
                  <c:v>5.7703121549272725</c:v>
                </c:pt>
                <c:pt idx="85">
                  <c:v>5.7359653052558395</c:v>
                </c:pt>
                <c:pt idx="86">
                  <c:v>5.7057304785440479</c:v>
                </c:pt>
                <c:pt idx="87">
                  <c:v>5.7074314904440531</c:v>
                </c:pt>
                <c:pt idx="88">
                  <c:v>5.6746137548178641</c:v>
                </c:pt>
                <c:pt idx="89">
                  <c:v>5.6444099226600901</c:v>
                </c:pt>
                <c:pt idx="90">
                  <c:v>5.6296820923269442</c:v>
                </c:pt>
                <c:pt idx="91">
                  <c:v>5.6266390186484463</c:v>
                </c:pt>
                <c:pt idx="92">
                  <c:v>5.597820690412469</c:v>
                </c:pt>
                <c:pt idx="93">
                  <c:v>5.5958553492904439</c:v>
                </c:pt>
                <c:pt idx="94">
                  <c:v>5.573910343904358</c:v>
                </c:pt>
                <c:pt idx="95">
                  <c:v>5.548781043237045</c:v>
                </c:pt>
                <c:pt idx="96">
                  <c:v>5.5784594771281943</c:v>
                </c:pt>
                <c:pt idx="97">
                  <c:v>5.6738114363113832</c:v>
                </c:pt>
                <c:pt idx="98">
                  <c:v>5.6445159503706392</c:v>
                </c:pt>
                <c:pt idx="99">
                  <c:v>5.6395555422239347</c:v>
                </c:pt>
                <c:pt idx="100">
                  <c:v>5.6164367377639621</c:v>
                </c:pt>
                <c:pt idx="101">
                  <c:v>5.5928837520664123</c:v>
                </c:pt>
                <c:pt idx="102">
                  <c:v>5.5736401618616567</c:v>
                </c:pt>
                <c:pt idx="103">
                  <c:v>5.5511752179929541</c:v>
                </c:pt>
                <c:pt idx="104">
                  <c:v>5.5272817112808106</c:v>
                </c:pt>
                <c:pt idx="105">
                  <c:v>5.5413785541173279</c:v>
                </c:pt>
                <c:pt idx="106">
                  <c:v>5.6624572065705854</c:v>
                </c:pt>
                <c:pt idx="107">
                  <c:v>5.6410246097650578</c:v>
                </c:pt>
                <c:pt idx="108">
                  <c:v>5.6598904731877751</c:v>
                </c:pt>
                <c:pt idx="109">
                  <c:v>5.6538821436078353</c:v>
                </c:pt>
                <c:pt idx="110">
                  <c:v>5.6885504713624879</c:v>
                </c:pt>
                <c:pt idx="111">
                  <c:v>5.6848500608570571</c:v>
                </c:pt>
                <c:pt idx="112">
                  <c:v>5.6613601630143462</c:v>
                </c:pt>
                <c:pt idx="113">
                  <c:v>5.6456642424718408</c:v>
                </c:pt>
                <c:pt idx="114">
                  <c:v>5.6517860740585739</c:v>
                </c:pt>
                <c:pt idx="115">
                  <c:v>5.6516983840234678</c:v>
                </c:pt>
                <c:pt idx="116">
                  <c:v>5.6488276594638531</c:v>
                </c:pt>
                <c:pt idx="117">
                  <c:v>5.649930282464287</c:v>
                </c:pt>
                <c:pt idx="118">
                  <c:v>5.6307272703146349</c:v>
                </c:pt>
                <c:pt idx="119">
                  <c:v>5.6119652572462426</c:v>
                </c:pt>
                <c:pt idx="120">
                  <c:v>5.5883362481677183</c:v>
                </c:pt>
                <c:pt idx="121">
                  <c:v>5.5752937096524642</c:v>
                </c:pt>
                <c:pt idx="122">
                  <c:v>5.5589748470639755</c:v>
                </c:pt>
                <c:pt idx="123">
                  <c:v>5.5425450751084995</c:v>
                </c:pt>
                <c:pt idx="124">
                  <c:v>5.5589776407014142</c:v>
                </c:pt>
                <c:pt idx="125">
                  <c:v>5.5691559655631391</c:v>
                </c:pt>
                <c:pt idx="126">
                  <c:v>5.5541585520199694</c:v>
                </c:pt>
                <c:pt idx="127">
                  <c:v>5.5341789717905563</c:v>
                </c:pt>
                <c:pt idx="128">
                  <c:v>5.5133033421998601</c:v>
                </c:pt>
                <c:pt idx="129">
                  <c:v>5.5291395668781478</c:v>
                </c:pt>
                <c:pt idx="130">
                  <c:v>5.5153504407334673</c:v>
                </c:pt>
                <c:pt idx="131">
                  <c:v>5.4944036599978556</c:v>
                </c:pt>
                <c:pt idx="132">
                  <c:v>5.492328240578928</c:v>
                </c:pt>
                <c:pt idx="133">
                  <c:v>5.4888772878201753</c:v>
                </c:pt>
                <c:pt idx="134">
                  <c:v>5.4682728194573258</c:v>
                </c:pt>
                <c:pt idx="135">
                  <c:v>5.4526161148272925</c:v>
                </c:pt>
                <c:pt idx="136">
                  <c:v>5.4446849272321849</c:v>
                </c:pt>
                <c:pt idx="137">
                  <c:v>5.4787289670148578</c:v>
                </c:pt>
                <c:pt idx="138">
                  <c:v>5.4587050964175186</c:v>
                </c:pt>
                <c:pt idx="139">
                  <c:v>5.4528116895631671</c:v>
                </c:pt>
                <c:pt idx="140">
                  <c:v>5.4414959181669653</c:v>
                </c:pt>
                <c:pt idx="141">
                  <c:v>5.4255989369474538</c:v>
                </c:pt>
                <c:pt idx="142">
                  <c:v>5.5240760164796585</c:v>
                </c:pt>
                <c:pt idx="143">
                  <c:v>5.5601355990024839</c:v>
                </c:pt>
                <c:pt idx="144">
                  <c:v>5.5472358710426235</c:v>
                </c:pt>
                <c:pt idx="145">
                  <c:v>5.5471351490683807</c:v>
                </c:pt>
                <c:pt idx="146">
                  <c:v>5.5385621214206608</c:v>
                </c:pt>
                <c:pt idx="147">
                  <c:v>5.5425820122348766</c:v>
                </c:pt>
                <c:pt idx="148">
                  <c:v>5.5721651709427364</c:v>
                </c:pt>
                <c:pt idx="149">
                  <c:v>5.5587448512259527</c:v>
                </c:pt>
                <c:pt idx="150">
                  <c:v>5.5518217706374671</c:v>
                </c:pt>
                <c:pt idx="151">
                  <c:v>5.5499575099243756</c:v>
                </c:pt>
                <c:pt idx="152">
                  <c:v>5.5557549993052806</c:v>
                </c:pt>
                <c:pt idx="153">
                  <c:v>5.5374494373147378</c:v>
                </c:pt>
                <c:pt idx="154">
                  <c:v>5.5229154435366237</c:v>
                </c:pt>
                <c:pt idx="155">
                  <c:v>5.5584499465257347</c:v>
                </c:pt>
                <c:pt idx="156">
                  <c:v>5.5764363516704147</c:v>
                </c:pt>
                <c:pt idx="157">
                  <c:v>5.5590376634196526</c:v>
                </c:pt>
                <c:pt idx="158">
                  <c:v>5.5634394914078715</c:v>
                </c:pt>
                <c:pt idx="159">
                  <c:v>5.549207351920411</c:v>
                </c:pt>
                <c:pt idx="160">
                  <c:v>5.5330596345326226</c:v>
                </c:pt>
                <c:pt idx="161">
                  <c:v>5.7482957832341839</c:v>
                </c:pt>
                <c:pt idx="162">
                  <c:v>5.7366305034730978</c:v>
                </c:pt>
                <c:pt idx="163">
                  <c:v>5.7196319822433335</c:v>
                </c:pt>
                <c:pt idx="164">
                  <c:v>5.713422149458661</c:v>
                </c:pt>
                <c:pt idx="165">
                  <c:v>5.6999159686576126</c:v>
                </c:pt>
                <c:pt idx="166">
                  <c:v>5.6841693538505229</c:v>
                </c:pt>
                <c:pt idx="167">
                  <c:v>5.6673177643964108</c:v>
                </c:pt>
                <c:pt idx="168">
                  <c:v>5.6523548289975185</c:v>
                </c:pt>
                <c:pt idx="169">
                  <c:v>5.6356514198347636</c:v>
                </c:pt>
                <c:pt idx="170">
                  <c:v>5.6276436944006214</c:v>
                </c:pt>
                <c:pt idx="171">
                  <c:v>5.6123650003625771</c:v>
                </c:pt>
                <c:pt idx="172">
                  <c:v>5.5980868525566372</c:v>
                </c:pt>
                <c:pt idx="173">
                  <c:v>5.6824741095857307</c:v>
                </c:pt>
                <c:pt idx="174">
                  <c:v>5.6748047820727612</c:v>
                </c:pt>
                <c:pt idx="175">
                  <c:v>5.6584754796122718</c:v>
                </c:pt>
                <c:pt idx="176">
                  <c:v>5.6763200504383011</c:v>
                </c:pt>
                <c:pt idx="177">
                  <c:v>5.69990963491645</c:v>
                </c:pt>
                <c:pt idx="178">
                  <c:v>5.7452132001409977</c:v>
                </c:pt>
                <c:pt idx="179">
                  <c:v>5.7984608426817523</c:v>
                </c:pt>
                <c:pt idx="180">
                  <c:v>5.8123612844500414</c:v>
                </c:pt>
                <c:pt idx="181">
                  <c:v>5.8149189479276062</c:v>
                </c:pt>
                <c:pt idx="182">
                  <c:v>5.7994183527266436</c:v>
                </c:pt>
                <c:pt idx="183">
                  <c:v>5.8128268989930039</c:v>
                </c:pt>
                <c:pt idx="184">
                  <c:v>5.8260267624665314</c:v>
                </c:pt>
                <c:pt idx="185">
                  <c:v>5.8430847956669121</c:v>
                </c:pt>
                <c:pt idx="186">
                  <c:v>5.8353716357879444</c:v>
                </c:pt>
                <c:pt idx="187">
                  <c:v>5.8296019879884078</c:v>
                </c:pt>
                <c:pt idx="188">
                  <c:v>5.8152355487370695</c:v>
                </c:pt>
                <c:pt idx="189">
                  <c:v>5.8294217488786355</c:v>
                </c:pt>
                <c:pt idx="190">
                  <c:v>5.9105336275019154</c:v>
                </c:pt>
                <c:pt idx="191">
                  <c:v>5.894959135672809</c:v>
                </c:pt>
                <c:pt idx="192">
                  <c:v>5.9198315113268469</c:v>
                </c:pt>
                <c:pt idx="193">
                  <c:v>5.9107255977631867</c:v>
                </c:pt>
                <c:pt idx="194">
                  <c:v>5.9311387887576483</c:v>
                </c:pt>
                <c:pt idx="195">
                  <c:v>5.9573141107845364</c:v>
                </c:pt>
                <c:pt idx="196">
                  <c:v>5.9463011010040621</c:v>
                </c:pt>
                <c:pt idx="197">
                  <c:v>5.9389807318218626</c:v>
                </c:pt>
                <c:pt idx="198">
                  <c:v>5.9585391223153303</c:v>
                </c:pt>
                <c:pt idx="199">
                  <c:v>5.9437572559597518</c:v>
                </c:pt>
                <c:pt idx="200">
                  <c:v>6.0073449782935331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95-4155-B65D-5CB6FD9175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296688"/>
        <c:axId val="1931332336"/>
      </c:scatterChart>
      <c:valAx>
        <c:axId val="2312966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Number of iterations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1931332336"/>
        <c:crosses val="autoZero"/>
        <c:crossBetween val="midCat"/>
      </c:valAx>
      <c:valAx>
        <c:axId val="193133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Standard deviation</a:t>
                </a:r>
                <a:r>
                  <a:rPr lang="en-US" baseline="0"/>
                  <a:t> </a:t>
                </a:r>
                <a:r>
                  <a:rPr lang="en-US"/>
                  <a:t>COT (mg/L)</a:t>
                </a:r>
              </a:p>
            </c:rich>
          </c:tx>
          <c:layout>
            <c:manualLayout>
              <c:xMode val="edge"/>
              <c:yMode val="edge"/>
              <c:x val="1.6666666666666666E-2"/>
              <c:y val="0.219258735664305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231296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plotArea>
      <cx:plotAreaRegion>
        <cx:series layoutId="clusteredColumn" uniqueId="{69906CB4-B180-4CC2-BD4C-8C3356914494}">
          <cx:spPr>
            <a:solidFill>
              <a:schemeClr val="bg1">
                <a:lumMod val="95000"/>
              </a:schemeClr>
            </a:solidFill>
            <a:ln w="6350">
              <a:solidFill>
                <a:sysClr val="windowText" lastClr="000000"/>
              </a:solidFill>
            </a:ln>
          </cx:spPr>
          <cx:dataId val="0"/>
          <cx:layoutPr>
            <cx:binning intervalClosed="r"/>
          </cx:layoutPr>
          <cx:axisId val="1"/>
        </cx:series>
        <cx:series layoutId="paretoLine" ownerIdx="0" uniqueId="{0260A465-6A05-4F4D-A1E8-7BDAB23B860B}">
          <cx:spPr>
            <a:ln w="9525">
              <a:solidFill>
                <a:sysClr val="windowText" lastClr="000000"/>
              </a:solidFill>
            </a:ln>
          </cx:spPr>
          <cx:axisId val="2"/>
        </cx:series>
      </cx:plotAreaRegion>
      <cx:axis id="0">
        <cx:catScaling/>
        <cx:title>
          <cx:tx>
            <cx:txData>
              <cx:v>Mean COT (mg/L) 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000">
                  <a:latin typeface="Arial" panose="020B0604020202020204" pitchFamily="34" charset="0"/>
                  <a:ea typeface="Arial" panose="020B0604020202020204" pitchFamily="34" charset="0"/>
                  <a:cs typeface="Arial" panose="020B0604020202020204" pitchFamily="34" charset="0"/>
                </a:defRPr>
              </a:pPr>
              <a:r>
                <a:rPr 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Mean COT (mg/L) </a:t>
              </a:r>
            </a:p>
          </cx:txPr>
        </cx:title>
        <cx:tickLabels/>
        <cx:numFmt formatCode="# ##0,00" sourceLinked="0"/>
        <cx:txPr>
          <a:bodyPr vertOverflow="overflow" horzOverflow="overflow" wrap="square" lIns="0" tIns="0" rIns="0" bIns="0"/>
          <a:lstStyle/>
          <a:p>
            <a:pPr algn="ctr" rtl="0">
              <a:defRPr sz="10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1">
        <cx:valScaling/>
        <cx:title>
          <cx:tx>
            <cx:txData>
              <cx:v>Frequency</cx:v>
            </cx:txData>
          </cx:tx>
          <cx:txPr>
            <a:bodyPr spcFirstLastPara="1" vertOverflow="ellipsis" horzOverflow="overflow" wrap="square" lIns="0" tIns="0" rIns="0" bIns="0" anchor="ctr" anchorCtr="1"/>
            <a:lstStyle/>
            <a:p>
              <a:pPr algn="ctr" rtl="0">
                <a:defRPr sz="1000">
                  <a:latin typeface="Arial" panose="020B0604020202020204" pitchFamily="34" charset="0"/>
                  <a:ea typeface="Arial" panose="020B0604020202020204" pitchFamily="34" charset="0"/>
                  <a:cs typeface="Arial" panose="020B0604020202020204" pitchFamily="34" charset="0"/>
                </a:defRPr>
              </a:pPr>
              <a:r>
                <a:rPr lang="en-US" sz="10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Frequency</a:t>
              </a:r>
            </a:p>
          </cx:txPr>
        </cx:title>
        <cx:majorGridlines/>
        <cx:tickLabels/>
        <cx:txPr>
          <a:bodyPr vertOverflow="overflow" horzOverflow="overflow" wrap="square" lIns="0" tIns="0" rIns="0" bIns="0"/>
          <a:lstStyle/>
          <a:p>
            <a:pPr algn="ctr" rtl="0">
              <a:defRPr sz="10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  <cx:axis id="2">
        <cx:valScaling max="1" min="0"/>
        <cx:units unit="percentage"/>
        <cx:tickLabels/>
        <cx:txPr>
          <a:bodyPr vertOverflow="overflow" horzOverflow="overflow" wrap="square" lIns="0" tIns="0" rIns="0" bIns="0"/>
          <a:lstStyle/>
          <a:p>
            <a:pPr algn="ctr" rtl="0">
              <a:defRPr sz="1000" b="0" i="0">
                <a:solidFill>
                  <a:srgbClr val="595959"/>
                </a:solidFill>
                <a:latin typeface="Arial" panose="020B0604020202020204" pitchFamily="34" charset="0"/>
                <a:ea typeface="Arial" panose="020B0604020202020204" pitchFamily="34" charset="0"/>
                <a:cs typeface="Arial" panose="020B0604020202020204" pitchFamily="34" charset="0"/>
              </a:defRPr>
            </a:pPr>
            <a:endParaRPr lang="en-US" sz="1000">
              <a:latin typeface="Arial" panose="020B0604020202020204" pitchFamily="34" charset="0"/>
              <a:cs typeface="Arial" panose="020B0604020202020204" pitchFamily="34" charset="0"/>
            </a:endParaRPr>
          </a:p>
        </cx:txPr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2</xdr:row>
      <xdr:rowOff>97877</xdr:rowOff>
    </xdr:from>
    <xdr:ext cx="96372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AFE8F5-D017-442C-8190-45E4B4F5F6A9}"/>
                </a:ext>
              </a:extLst>
            </xdr:cNvPr>
            <xdr:cNvSpPr txBox="1"/>
          </xdr:nvSpPr>
          <xdr:spPr>
            <a:xfrm>
              <a:off x="0" y="463637"/>
              <a:ext cx="9637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C" sz="1100" b="0" i="1">
                        <a:latin typeface="Cambria Math" panose="02040503050406030204" pitchFamily="18" charset="0"/>
                      </a:rPr>
                      <m:t>𝐶𝑂𝑇</m:t>
                    </m:r>
                    <m:r>
                      <a:rPr lang="es-EC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s-EC" sz="1100" b="0" i="1">
                        <a:latin typeface="Cambria Math" panose="02040503050406030204" pitchFamily="18" charset="0"/>
                      </a:rPr>
                      <m:t>𝐶𝑇</m:t>
                    </m:r>
                    <m:r>
                      <a:rPr lang="es-EC" sz="1100" b="0" i="1">
                        <a:latin typeface="Cambria Math" panose="02040503050406030204" pitchFamily="18" charset="0"/>
                      </a:rPr>
                      <m:t>−</m:t>
                    </m:r>
                    <m:r>
                      <a:rPr lang="es-EC" sz="1100" b="0" i="1">
                        <a:latin typeface="Cambria Math" panose="02040503050406030204" pitchFamily="18" charset="0"/>
                      </a:rPr>
                      <m:t>𝐶𝐼</m:t>
                    </m:r>
                  </m:oMath>
                </m:oMathPara>
              </a14:m>
              <a:endParaRPr lang="es-EC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A0AFE8F5-D017-442C-8190-45E4B4F5F6A9}"/>
                </a:ext>
              </a:extLst>
            </xdr:cNvPr>
            <xdr:cNvSpPr txBox="1"/>
          </xdr:nvSpPr>
          <xdr:spPr>
            <a:xfrm>
              <a:off x="0" y="463637"/>
              <a:ext cx="96372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C" sz="1100" b="0" i="0">
                  <a:latin typeface="Cambria Math" panose="02040503050406030204" pitchFamily="18" charset="0"/>
                </a:rPr>
                <a:t>𝐶𝑂𝑇=𝐶𝑇−𝐶𝐼</a:t>
              </a:r>
              <a:endParaRPr lang="es-EC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4</xdr:row>
      <xdr:rowOff>32188</xdr:rowOff>
    </xdr:from>
    <xdr:ext cx="3346494" cy="3501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6E2419-83D0-46FD-A2E6-1EA238C0E042}"/>
                </a:ext>
              </a:extLst>
            </xdr:cNvPr>
            <xdr:cNvSpPr txBox="1"/>
          </xdr:nvSpPr>
          <xdr:spPr>
            <a:xfrm>
              <a:off x="0" y="733228"/>
              <a:ext cx="3346494" cy="3501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C" sz="1100" b="0" i="1">
                        <a:latin typeface="Cambria Math" panose="02040503050406030204" pitchFamily="18" charset="0"/>
                      </a:rPr>
                      <m:t>𝐶𝑇</m:t>
                    </m:r>
                    <m:r>
                      <a:rPr lang="es-EC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</m:e>
                          <m:sub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𝐶𝑇</m:t>
                            </m:r>
                          </m:sub>
                        </m:sSub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𝑏</m:t>
                            </m:r>
                          </m:e>
                          <m:sub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𝐶𝑇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  <m:sub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𝐶𝑇</m:t>
                            </m:r>
                          </m:sub>
                        </m:sSub>
                      </m:den>
                    </m:f>
                    <m:r>
                      <a:rPr lang="es-EC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C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𝑑𝑖𝑙</m:t>
                        </m:r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𝐶𝑇</m:t>
                        </m:r>
                      </m:sub>
                    </m:sSub>
                    <m:r>
                      <a:rPr lang="es-EC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C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𝑅𝑒𝑐𝑢𝑝</m:t>
                        </m:r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𝐶𝑇</m:t>
                        </m:r>
                      </m:sub>
                    </m:sSub>
                    <m:r>
                      <a:rPr lang="es-EC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sSub>
                      <m:sSubPr>
                        <m:ctrlP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b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𝑀𝑎𝑡𝑟𝑖𝑧</m:t>
                        </m:r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𝐶𝑇</m:t>
                        </m:r>
                      </m:sub>
                    </m:sSub>
                    <m:r>
                      <a:rPr lang="es-EC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s-EC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𝐶𝑇</m:t>
                        </m:r>
                      </m:sub>
                    </m:sSub>
                  </m:oMath>
                </m:oMathPara>
              </a14:m>
              <a:endParaRPr lang="es-EC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436E2419-83D0-46FD-A2E6-1EA238C0E042}"/>
                </a:ext>
              </a:extLst>
            </xdr:cNvPr>
            <xdr:cNvSpPr txBox="1"/>
          </xdr:nvSpPr>
          <xdr:spPr>
            <a:xfrm>
              <a:off x="0" y="733228"/>
              <a:ext cx="3346494" cy="3501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C" sz="1100" b="0" i="0">
                  <a:latin typeface="Cambria Math" panose="02040503050406030204" pitchFamily="18" charset="0"/>
                </a:rPr>
                <a:t>𝐶𝑇=</a:t>
              </a:r>
              <a:r>
                <a:rPr lang="es-EC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(𝐴_𝐶𝑇−𝑏_𝐶𝑇)/𝑚_𝐶𝑇 </a:t>
              </a:r>
              <a:r>
                <a:rPr lang="es-EC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s-EC" sz="1100" b="0" i="0">
                  <a:latin typeface="Cambria Math" panose="02040503050406030204" pitchFamily="18" charset="0"/>
                </a:rPr>
                <a:t>𝐹_(𝑑𝑖𝑙 𝐶𝑇)</a:t>
              </a:r>
              <a:r>
                <a:rPr lang="es-EC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s-EC" sz="1100" b="0" i="0">
                  <a:latin typeface="Cambria Math" panose="02040503050406030204" pitchFamily="18" charset="0"/>
                </a:rPr>
                <a:t>𝐹_(𝑅𝑒𝑐𝑢𝑝 𝐶𝑇)</a:t>
              </a:r>
              <a:r>
                <a:rPr lang="es-EC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×𝐹_(𝑀𝑎𝑡𝑟𝑖𝑧 𝐶𝑇)−</a:t>
              </a:r>
              <a:r>
                <a:rPr lang="es-EC" sz="1100" b="0" i="0">
                  <a:latin typeface="Cambria Math" panose="02040503050406030204" pitchFamily="18" charset="0"/>
                </a:rPr>
                <a:t>𝐵_𝐶𝑇</a:t>
              </a:r>
              <a:endParaRPr lang="es-EC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6</xdr:row>
      <xdr:rowOff>99192</xdr:rowOff>
    </xdr:from>
    <xdr:ext cx="3203313" cy="35016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951DB2B-619E-43A5-B7E8-B091739A8785}"/>
                </a:ext>
              </a:extLst>
            </xdr:cNvPr>
            <xdr:cNvSpPr txBox="1"/>
          </xdr:nvSpPr>
          <xdr:spPr>
            <a:xfrm>
              <a:off x="0" y="1135512"/>
              <a:ext cx="3203313" cy="3501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EC" sz="1100" b="0" i="1">
                        <a:latin typeface="Cambria Math" panose="02040503050406030204" pitchFamily="18" charset="0"/>
                      </a:rPr>
                      <m:t>𝐶𝐼</m:t>
                    </m:r>
                    <m:r>
                      <a:rPr lang="es-EC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𝐴</m:t>
                            </m:r>
                          </m:e>
                          <m:sub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𝐶𝐼</m:t>
                            </m:r>
                          </m:sub>
                        </m:sSub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sSub>
                          <m:sSubPr>
                            <m:ctrlP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𝑏</m:t>
                            </m:r>
                          </m:e>
                          <m:sub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𝐶𝐼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</m:t>
                            </m:r>
                          </m:e>
                          <m:sub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𝐶𝐼</m:t>
                            </m:r>
                          </m:sub>
                        </m:sSub>
                      </m:den>
                    </m:f>
                    <m:r>
                      <a:rPr lang="es-EC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C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𝑑𝑖𝑙</m:t>
                        </m:r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𝐶𝑇</m:t>
                        </m:r>
                      </m:sub>
                    </m:sSub>
                    <m:r>
                      <a:rPr lang="es-EC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C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𝑅𝑒𝑐𝑢𝑝</m:t>
                        </m:r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𝐶𝐼</m:t>
                        </m:r>
                      </m:sub>
                    </m:sSub>
                    <m:r>
                      <a:rPr lang="es-EC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sSub>
                      <m:sSubPr>
                        <m:ctrlP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𝐹</m:t>
                        </m:r>
                      </m:e>
                      <m:sub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𝑀𝑎𝑡𝑟𝑖𝑧</m:t>
                        </m:r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𝐶𝐼</m:t>
                        </m:r>
                      </m:sub>
                    </m:sSub>
                    <m:r>
                      <a:rPr lang="es-EC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s-EC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𝐵</m:t>
                        </m:r>
                      </m:e>
                      <m:sub>
                        <m:r>
                          <a:rPr lang="es-EC" sz="1100" b="0" i="1">
                            <a:latin typeface="Cambria Math" panose="02040503050406030204" pitchFamily="18" charset="0"/>
                          </a:rPr>
                          <m:t>𝐶𝐼</m:t>
                        </m:r>
                      </m:sub>
                    </m:sSub>
                  </m:oMath>
                </m:oMathPara>
              </a14:m>
              <a:endParaRPr lang="es-EC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E951DB2B-619E-43A5-B7E8-B091739A8785}"/>
                </a:ext>
              </a:extLst>
            </xdr:cNvPr>
            <xdr:cNvSpPr txBox="1"/>
          </xdr:nvSpPr>
          <xdr:spPr>
            <a:xfrm>
              <a:off x="0" y="1135512"/>
              <a:ext cx="3203313" cy="35016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C" sz="1100" b="0" i="0">
                  <a:latin typeface="Cambria Math" panose="02040503050406030204" pitchFamily="18" charset="0"/>
                </a:rPr>
                <a:t>𝐶𝐼=</a:t>
              </a:r>
              <a:r>
                <a:rPr lang="es-EC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(𝐴_𝐶𝐼−𝑏_𝐶𝐼)/𝑚_𝐶𝐼 </a:t>
              </a:r>
              <a:r>
                <a:rPr lang="es-EC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s-EC" sz="1100" b="0" i="0">
                  <a:latin typeface="Cambria Math" panose="02040503050406030204" pitchFamily="18" charset="0"/>
                </a:rPr>
                <a:t>𝐹_(𝑑𝑖𝑙 𝐶𝑇)</a:t>
              </a:r>
              <a:r>
                <a:rPr lang="es-EC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s-EC" sz="1100" b="0" i="0">
                  <a:latin typeface="Cambria Math" panose="02040503050406030204" pitchFamily="18" charset="0"/>
                </a:rPr>
                <a:t>𝐹_(𝑅𝑒𝑐𝑢𝑝 𝐶𝐼)</a:t>
              </a:r>
              <a:r>
                <a:rPr lang="es-EC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×𝐹_(𝑀𝑎𝑡𝑟𝑖𝑧 𝐶𝐼)−</a:t>
              </a:r>
              <a:r>
                <a:rPr lang="es-EC" sz="1100" b="0" i="0">
                  <a:latin typeface="Cambria Math" panose="02040503050406030204" pitchFamily="18" charset="0"/>
                </a:rPr>
                <a:t>𝐵_𝐶𝐼</a:t>
              </a:r>
              <a:endParaRPr lang="es-EC" sz="1100"/>
            </a:p>
          </xdr:txBody>
        </xdr:sp>
      </mc:Fallback>
    </mc:AlternateContent>
    <xdr:clientData/>
  </xdr:oneCellAnchor>
  <xdr:oneCellAnchor>
    <xdr:from>
      <xdr:col>0</xdr:col>
      <xdr:colOff>0</xdr:colOff>
      <xdr:row>10</xdr:row>
      <xdr:rowOff>131379</xdr:rowOff>
    </xdr:from>
    <xdr:ext cx="5959965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4303BC7-0C0E-414B-BBD5-73F75ECC3CE9}"/>
                </a:ext>
              </a:extLst>
            </xdr:cNvPr>
            <xdr:cNvSpPr txBox="1"/>
          </xdr:nvSpPr>
          <xdr:spPr>
            <a:xfrm>
              <a:off x="0" y="1838259"/>
              <a:ext cx="5959965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left"/>
                  </m:oMathParaPr>
                  <m:oMath xmlns:m="http://schemas.openxmlformats.org/officeDocument/2006/math">
                    <m:r>
                      <a:rPr lang="es-EC" sz="1100" b="0" i="1">
                        <a:latin typeface="Cambria Math" panose="02040503050406030204" pitchFamily="18" charset="0"/>
                      </a:rPr>
                      <m:t>𝐶𝑂𝑇</m:t>
                    </m:r>
                    <m:r>
                      <a:rPr lang="es-EC" sz="11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𝐶𝑇</m:t>
                                </m:r>
                              </m:sub>
                            </m:sSub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b>
                                <m: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𝐶𝑇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  <m:sub>
                                <m: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𝐶𝑇</m:t>
                                </m:r>
                              </m:sub>
                            </m:sSub>
                          </m:den>
                        </m:f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𝑅𝑒𝑐𝑢𝑝</m:t>
                            </m:r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𝐶𝑇</m:t>
                            </m:r>
                          </m:sub>
                        </m:sSub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𝑀𝑎𝑡𝑟𝑖𝑧</m:t>
                            </m:r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𝐶𝑇</m:t>
                            </m:r>
                          </m:sub>
                        </m:sSub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 </m:t>
                        </m:r>
                        <m:f>
                          <m:fPr>
                            <m:ctrlP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𝐴</m:t>
                                </m:r>
                              </m:e>
                              <m:sub>
                                <m: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𝐶𝐼</m:t>
                                </m:r>
                              </m:sub>
                            </m:sSub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𝑏</m:t>
                                </m:r>
                              </m:e>
                              <m:sub>
                                <m: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𝐶𝐼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𝑚</m:t>
                                </m:r>
                              </m:e>
                              <m:sub>
                                <m:r>
                                  <a:rPr lang="es-EC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𝐶𝐼</m:t>
                                </m:r>
                              </m:sub>
                            </m:sSub>
                          </m:den>
                        </m:f>
                        <m:r>
                          <a:rPr lang="es-EC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sSub>
                          <m:sSubPr>
                            <m:ctrlPr>
                              <a:rPr lang="es-EC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EC" sz="1100" b="0" i="1">
                                <a:latin typeface="Cambria Math" panose="02040503050406030204" pitchFamily="18" charset="0"/>
                              </a:rPr>
                              <m:t>𝐹</m:t>
                            </m:r>
                          </m:e>
                          <m:sub>
                            <m:r>
                              <a:rPr lang="es-EC" sz="1100" b="0" i="1">
                                <a:latin typeface="Cambria Math" panose="02040503050406030204" pitchFamily="18" charset="0"/>
                              </a:rPr>
                              <m:t>𝑅𝑒𝑐𝑢𝑝</m:t>
                            </m:r>
                            <m:r>
                              <a:rPr lang="es-EC" sz="1100" b="0" i="1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EC" sz="1100" b="0" i="1">
                                <a:latin typeface="Cambria Math" panose="02040503050406030204" pitchFamily="18" charset="0"/>
                              </a:rPr>
                              <m:t>𝐶𝐼</m:t>
                            </m:r>
                          </m:sub>
                        </m:sSub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𝐹</m:t>
                            </m:r>
                          </m:e>
                          <m:sub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𝑀𝑎𝑡𝑟𝑖𝑧</m:t>
                            </m:r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a:rPr lang="es-EC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𝐶𝐼</m:t>
                            </m:r>
                          </m:sub>
                        </m:sSub>
                      </m:e>
                    </m:d>
                    <m:r>
                      <a:rPr lang="es-EC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b>
                      <m:sSubPr>
                        <m:ctrlPr>
                          <a:rPr lang="es-EC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EC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𝐹</m:t>
                        </m:r>
                      </m:e>
                      <m:sub>
                        <m:r>
                          <a:rPr lang="es-EC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𝑑𝑖𝑙</m:t>
                        </m:r>
                      </m:sub>
                    </m:sSub>
                    <m:r>
                      <a:rPr lang="es-EC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</m:t>
                    </m:r>
                    <m:sSub>
                      <m:sSubPr>
                        <m:ctrlP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e>
                      <m:sub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𝐶𝑇</m:t>
                        </m:r>
                      </m:sub>
                    </m:sSub>
                    <m:r>
                      <a:rPr lang="es-EC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e>
                      <m:sub>
                        <m:r>
                          <a:rPr lang="es-EC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𝐶𝐼</m:t>
                        </m:r>
                      </m:sub>
                    </m:sSub>
                  </m:oMath>
                </m:oMathPara>
              </a14:m>
              <a:endParaRPr lang="es-EC" sz="11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94303BC7-0C0E-414B-BBD5-73F75ECC3CE9}"/>
                </a:ext>
              </a:extLst>
            </xdr:cNvPr>
            <xdr:cNvSpPr txBox="1"/>
          </xdr:nvSpPr>
          <xdr:spPr>
            <a:xfrm>
              <a:off x="0" y="1838259"/>
              <a:ext cx="5959965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EC" sz="1100" b="0" i="0">
                  <a:latin typeface="Cambria Math" panose="02040503050406030204" pitchFamily="18" charset="0"/>
                </a:rPr>
                <a:t>𝐶𝑂𝑇=</a:t>
              </a:r>
              <a:r>
                <a:rPr lang="es-EC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((𝐴_𝐶𝑇−𝑏_𝐶𝑇)/𝑚_𝐶𝑇 ×𝐹_(𝑅𝑒𝑐𝑢𝑝 𝐶𝑇)×𝐹_(𝑀𝑎𝑡𝑟𝑖𝑧 𝐶𝑇)− (𝐴_𝐶𝐼−𝑏_𝐶𝐼)/𝑚_𝐶𝐼 </a:t>
              </a:r>
              <a:r>
                <a:rPr lang="es-EC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s-EC" sz="1100" b="0" i="0">
                  <a:latin typeface="Cambria Math" panose="02040503050406030204" pitchFamily="18" charset="0"/>
                </a:rPr>
                <a:t>𝐹_(𝑅𝑒𝑐𝑢𝑝 𝐶𝐼)</a:t>
              </a:r>
              <a:r>
                <a:rPr lang="es-EC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×𝐹_(𝑀𝑎𝑡𝑟𝑖𝑧 𝐶𝐼) )</a:t>
              </a:r>
              <a:r>
                <a:rPr lang="es-EC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×𝐹_𝑑𝑖𝑙</a:t>
              </a:r>
              <a:r>
                <a:rPr lang="es-EC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EC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𝐵_𝐶𝑇+𝐵_𝐶𝐼</a:t>
              </a:r>
              <a:endParaRPr lang="es-EC" sz="1100"/>
            </a:p>
          </xdr:txBody>
        </xdr:sp>
      </mc:Fallback>
    </mc:AlternateContent>
    <xdr:clientData/>
  </xdr:oneCellAnchor>
  <xdr:twoCellAnchor editAs="oneCell">
    <xdr:from>
      <xdr:col>6</xdr:col>
      <xdr:colOff>617220</xdr:colOff>
      <xdr:row>15</xdr:row>
      <xdr:rowOff>167639</xdr:rowOff>
    </xdr:from>
    <xdr:to>
      <xdr:col>18</xdr:col>
      <xdr:colOff>533988</xdr:colOff>
      <xdr:row>23</xdr:row>
      <xdr:rowOff>97972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2466FA8-94F0-425E-A55B-DD1D354DAE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246" t="32948"/>
        <a:stretch/>
      </xdr:blipFill>
      <xdr:spPr>
        <a:xfrm>
          <a:off x="4366260" y="2545079"/>
          <a:ext cx="7414848" cy="1606733"/>
        </a:xfrm>
        <a:prstGeom prst="rect">
          <a:avLst/>
        </a:prstGeom>
      </xdr:spPr>
    </xdr:pic>
    <xdr:clientData/>
  </xdr:twoCellAnchor>
  <xdr:twoCellAnchor>
    <xdr:from>
      <xdr:col>4</xdr:col>
      <xdr:colOff>26524</xdr:colOff>
      <xdr:row>62</xdr:row>
      <xdr:rowOff>0</xdr:rowOff>
    </xdr:from>
    <xdr:to>
      <xdr:col>10</xdr:col>
      <xdr:colOff>0</xdr:colOff>
      <xdr:row>78</xdr:row>
      <xdr:rowOff>89389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5988449-5458-4357-A57F-E6CCF494F4A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114301</xdr:colOff>
      <xdr:row>8</xdr:row>
      <xdr:rowOff>110490</xdr:rowOff>
    </xdr:from>
    <xdr:to>
      <xdr:col>9</xdr:col>
      <xdr:colOff>53340</xdr:colOff>
      <xdr:row>10</xdr:row>
      <xdr:rowOff>45720</xdr:rowOff>
    </xdr:to>
    <xdr:sp macro="[0]!iterac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29F320-23EC-4B8C-8F53-F51CD85D874C}"/>
            </a:ext>
          </a:extLst>
        </xdr:cNvPr>
        <xdr:cNvSpPr/>
      </xdr:nvSpPr>
      <xdr:spPr>
        <a:xfrm>
          <a:off x="4381501" y="1588770"/>
          <a:ext cx="1158239" cy="300990"/>
        </a:xfrm>
        <a:prstGeom prst="roundRect">
          <a:avLst/>
        </a:prstGeom>
        <a:solidFill>
          <a:schemeClr val="dk1">
            <a:alpha val="50000"/>
          </a:scheme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100" u="sng">
              <a:latin typeface="Arial" panose="020B0604020202020204" pitchFamily="34" charset="0"/>
              <a:cs typeface="Arial" panose="020B0604020202020204" pitchFamily="34" charset="0"/>
            </a:rPr>
            <a:t>RUN macro</a:t>
          </a:r>
        </a:p>
      </xdr:txBody>
    </xdr:sp>
    <xdr:clientData/>
  </xdr:twoCellAnchor>
  <xdr:twoCellAnchor>
    <xdr:from>
      <xdr:col>8</xdr:col>
      <xdr:colOff>295274</xdr:colOff>
      <xdr:row>12</xdr:row>
      <xdr:rowOff>60961</xdr:rowOff>
    </xdr:from>
    <xdr:to>
      <xdr:col>17</xdr:col>
      <xdr:colOff>38099</xdr:colOff>
      <xdr:row>32</xdr:row>
      <xdr:rowOff>161925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52A26F7-0147-42C7-BF0E-AB982B98C3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172074" y="2278381"/>
              <a:ext cx="5244465" cy="375856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0</xdr:col>
      <xdr:colOff>66675</xdr:colOff>
      <xdr:row>12</xdr:row>
      <xdr:rowOff>114300</xdr:rowOff>
    </xdr:from>
    <xdr:to>
      <xdr:col>7</xdr:col>
      <xdr:colOff>371475</xdr:colOff>
      <xdr:row>32</xdr:row>
      <xdr:rowOff>106680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38C615C-771B-4A72-9618-506136D74F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14</xdr:col>
      <xdr:colOff>245633</xdr:colOff>
      <xdr:row>31</xdr:row>
      <xdr:rowOff>137160</xdr:rowOff>
    </xdr:from>
    <xdr:ext cx="1602426" cy="19556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920324F2-B987-7DE5-B090-77E0C58CC1E1}"/>
            </a:ext>
          </a:extLst>
        </xdr:cNvPr>
        <xdr:cNvSpPr txBox="1"/>
      </xdr:nvSpPr>
      <xdr:spPr>
        <a:xfrm>
          <a:off x="8780033" y="5722172"/>
          <a:ext cx="1602426" cy="19556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700" i="1">
              <a:latin typeface="Arial" panose="020B0604020202020204" pitchFamily="34" charset="0"/>
              <a:cs typeface="Arial" panose="020B0604020202020204" pitchFamily="34" charset="0"/>
            </a:rPr>
            <a:t>Selected</a:t>
          </a:r>
          <a:r>
            <a:rPr lang="en-US" sz="700" i="1" baseline="0">
              <a:latin typeface="Arial" panose="020B0604020202020204" pitchFamily="34" charset="0"/>
              <a:cs typeface="Arial" panose="020B0604020202020204" pitchFamily="34" charset="0"/>
            </a:rPr>
            <a:t> range: up to 200 iterations</a:t>
          </a:r>
          <a:endParaRPr lang="en-US" sz="700" i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2D12C-62F0-400C-9CAF-60057A31A1CC}">
  <sheetPr codeName="Sheet1"/>
  <dimension ref="A1:O75"/>
  <sheetViews>
    <sheetView showGridLines="0" topLeftCell="A64" zoomScaleNormal="100" workbookViewId="0">
      <selection activeCell="F94" sqref="F94"/>
    </sheetView>
  </sheetViews>
  <sheetFormatPr defaultColWidth="9.109375" defaultRowHeight="13.2" x14ac:dyDescent="0.25"/>
  <cols>
    <col min="1" max="16384" width="9.109375" style="1"/>
  </cols>
  <sheetData>
    <row r="1" spans="1:5" ht="15.6" x14ac:dyDescent="0.3">
      <c r="A1" s="5" t="s">
        <v>0</v>
      </c>
    </row>
    <row r="2" spans="1:5" x14ac:dyDescent="0.25">
      <c r="A2" s="1" t="s">
        <v>57</v>
      </c>
    </row>
    <row r="10" spans="1:5" x14ac:dyDescent="0.25">
      <c r="A10" s="1" t="s">
        <v>2</v>
      </c>
    </row>
    <row r="14" spans="1:5" x14ac:dyDescent="0.25">
      <c r="A14" s="18" t="s">
        <v>55</v>
      </c>
    </row>
    <row r="15" spans="1:5" x14ac:dyDescent="0.25">
      <c r="A15" s="18"/>
    </row>
    <row r="16" spans="1:5" ht="39.6" x14ac:dyDescent="0.25">
      <c r="A16" s="19" t="s">
        <v>3</v>
      </c>
      <c r="B16" s="19" t="s">
        <v>4</v>
      </c>
      <c r="C16" s="19" t="s">
        <v>56</v>
      </c>
      <c r="D16" s="19" t="s">
        <v>7</v>
      </c>
      <c r="E16" s="19" t="s">
        <v>8</v>
      </c>
    </row>
    <row r="17" spans="1:5" x14ac:dyDescent="0.25">
      <c r="A17" s="2" t="s">
        <v>5</v>
      </c>
      <c r="B17" s="1" t="s">
        <v>6</v>
      </c>
      <c r="C17" s="1" t="s">
        <v>33</v>
      </c>
      <c r="D17" s="13">
        <v>20000</v>
      </c>
      <c r="E17" s="13">
        <f>A_CT*0.05</f>
        <v>1000</v>
      </c>
    </row>
    <row r="18" spans="1:5" x14ac:dyDescent="0.25">
      <c r="A18" s="2" t="s">
        <v>9</v>
      </c>
      <c r="B18" s="1" t="s">
        <v>12</v>
      </c>
      <c r="C18" s="1" t="s">
        <v>33</v>
      </c>
      <c r="D18" s="13">
        <v>8.0923999999999996</v>
      </c>
      <c r="E18" s="13">
        <f>D18*0.1</f>
        <v>0.80923999999999996</v>
      </c>
    </row>
    <row r="19" spans="1:5" x14ac:dyDescent="0.25">
      <c r="A19" s="2" t="s">
        <v>10</v>
      </c>
      <c r="B19" s="1" t="s">
        <v>11</v>
      </c>
      <c r="C19" s="1" t="s">
        <v>34</v>
      </c>
      <c r="D19" s="13">
        <v>1051.3</v>
      </c>
      <c r="E19" s="13">
        <f>D19*0.05</f>
        <v>52.564999999999998</v>
      </c>
    </row>
    <row r="20" spans="1:5" x14ac:dyDescent="0.25">
      <c r="A20" s="1" t="s">
        <v>13</v>
      </c>
      <c r="B20" s="1" t="s">
        <v>14</v>
      </c>
      <c r="C20" s="1" t="s">
        <v>37</v>
      </c>
      <c r="D20" s="13">
        <f>1/0.9</f>
        <v>1.1111111111111112</v>
      </c>
      <c r="E20" s="13">
        <f>D20*0.02</f>
        <v>2.2222222222222223E-2</v>
      </c>
    </row>
    <row r="21" spans="1:5" x14ac:dyDescent="0.25">
      <c r="A21" s="1" t="s">
        <v>15</v>
      </c>
      <c r="B21" s="1" t="s">
        <v>16</v>
      </c>
      <c r="C21" s="1" t="s">
        <v>38</v>
      </c>
      <c r="D21" s="13">
        <f>1/0.9</f>
        <v>1.1111111111111112</v>
      </c>
      <c r="E21" s="13">
        <f>D21*0.05</f>
        <v>5.5555555555555559E-2</v>
      </c>
    </row>
    <row r="22" spans="1:5" x14ac:dyDescent="0.25">
      <c r="A22" s="2" t="s">
        <v>22</v>
      </c>
      <c r="B22" s="1" t="s">
        <v>21</v>
      </c>
      <c r="C22" s="1" t="s">
        <v>33</v>
      </c>
      <c r="D22" s="13">
        <v>14000</v>
      </c>
      <c r="E22" s="13">
        <f>A_CI*0.05</f>
        <v>700</v>
      </c>
    </row>
    <row r="23" spans="1:5" x14ac:dyDescent="0.25">
      <c r="A23" s="2" t="s">
        <v>23</v>
      </c>
      <c r="B23" s="1" t="s">
        <v>17</v>
      </c>
      <c r="C23" s="1" t="s">
        <v>33</v>
      </c>
      <c r="D23" s="13">
        <v>1814.5</v>
      </c>
      <c r="E23" s="13">
        <f>D23*0.1</f>
        <v>181.45000000000002</v>
      </c>
    </row>
    <row r="24" spans="1:5" x14ac:dyDescent="0.25">
      <c r="A24" s="2" t="s">
        <v>24</v>
      </c>
      <c r="B24" s="1" t="s">
        <v>18</v>
      </c>
      <c r="C24" s="1" t="s">
        <v>34</v>
      </c>
      <c r="D24" s="13">
        <v>1167</v>
      </c>
      <c r="E24" s="13">
        <f>D24*0.1</f>
        <v>116.7</v>
      </c>
    </row>
    <row r="25" spans="1:5" x14ac:dyDescent="0.25">
      <c r="A25" s="1" t="s">
        <v>25</v>
      </c>
      <c r="B25" s="1" t="s">
        <v>19</v>
      </c>
      <c r="C25" s="1" t="s">
        <v>39</v>
      </c>
      <c r="D25" s="13">
        <f>1/0.9</f>
        <v>1.1111111111111112</v>
      </c>
      <c r="E25" s="13">
        <f>D25*0.02</f>
        <v>2.2222222222222223E-2</v>
      </c>
    </row>
    <row r="26" spans="1:5" x14ac:dyDescent="0.25">
      <c r="A26" s="1" t="s">
        <v>26</v>
      </c>
      <c r="B26" s="1" t="s">
        <v>20</v>
      </c>
      <c r="C26" s="1" t="s">
        <v>38</v>
      </c>
      <c r="D26" s="13">
        <f>1/0.9</f>
        <v>1.1111111111111112</v>
      </c>
      <c r="E26" s="13">
        <f>D26*0.05</f>
        <v>5.5555555555555559E-2</v>
      </c>
    </row>
    <row r="27" spans="1:5" x14ac:dyDescent="0.25">
      <c r="A27" s="2" t="s">
        <v>27</v>
      </c>
      <c r="B27" s="1" t="s">
        <v>28</v>
      </c>
      <c r="C27" s="1" t="s">
        <v>35</v>
      </c>
      <c r="D27" s="13">
        <v>2</v>
      </c>
      <c r="E27" s="13">
        <f>D27*0.005</f>
        <v>0.01</v>
      </c>
    </row>
    <row r="28" spans="1:5" x14ac:dyDescent="0.25">
      <c r="A28" s="2" t="s">
        <v>29</v>
      </c>
      <c r="B28" s="1" t="s">
        <v>30</v>
      </c>
      <c r="C28" s="1" t="s">
        <v>36</v>
      </c>
      <c r="D28" s="13">
        <v>0.1</v>
      </c>
      <c r="E28" s="13">
        <f>D28*0.1</f>
        <v>1.0000000000000002E-2</v>
      </c>
    </row>
    <row r="29" spans="1:5" x14ac:dyDescent="0.25">
      <c r="A29" s="2" t="s">
        <v>32</v>
      </c>
      <c r="B29" s="1" t="s">
        <v>31</v>
      </c>
      <c r="C29" s="1" t="s">
        <v>36</v>
      </c>
      <c r="D29" s="13">
        <v>0.3</v>
      </c>
      <c r="E29" s="13">
        <f>D29*0.1</f>
        <v>0.03</v>
      </c>
    </row>
    <row r="31" spans="1:5" x14ac:dyDescent="0.25">
      <c r="A31" s="2" t="s">
        <v>40</v>
      </c>
      <c r="D31" s="1">
        <f>(A_CT-b_CT)/m_CT*F_RecupCT*F_MatrizCT*F_dil-blank_CT</f>
        <v>46.853994877594232</v>
      </c>
    </row>
    <row r="32" spans="1:5" x14ac:dyDescent="0.25">
      <c r="A32" s="2" t="s">
        <v>41</v>
      </c>
      <c r="D32" s="1">
        <f>(A_CI-b_CI)/m_CI*F_RecupCI*F_MatrizCI*F_dil-Blank_CI</f>
        <v>25.482051688935435</v>
      </c>
    </row>
    <row r="33" spans="1:15" x14ac:dyDescent="0.25">
      <c r="A33" s="2" t="s">
        <v>1</v>
      </c>
      <c r="D33" s="1">
        <f>((A_CT-b_CT)/m_CT*F_RecupCT*F_MatrizCT-(A_CI-b_CI)/m_CI*F_RecupCI*F_MatrizCI)*F_dil+(Blank_CI-blank_CT)</f>
        <v>21.371943188658797</v>
      </c>
    </row>
    <row r="36" spans="1:15" x14ac:dyDescent="0.25">
      <c r="A36" s="1" t="s">
        <v>53</v>
      </c>
    </row>
    <row r="38" spans="1:15" x14ac:dyDescent="0.25">
      <c r="C38" s="2" t="s">
        <v>5</v>
      </c>
      <c r="D38" s="2" t="s">
        <v>9</v>
      </c>
      <c r="E38" s="2" t="s">
        <v>10</v>
      </c>
      <c r="F38" s="1" t="s">
        <v>13</v>
      </c>
      <c r="G38" s="1" t="s">
        <v>15</v>
      </c>
      <c r="H38" s="2" t="s">
        <v>22</v>
      </c>
      <c r="I38" s="2" t="s">
        <v>23</v>
      </c>
      <c r="J38" s="2" t="s">
        <v>24</v>
      </c>
      <c r="K38" s="1" t="s">
        <v>25</v>
      </c>
      <c r="L38" s="1" t="s">
        <v>26</v>
      </c>
      <c r="M38" s="2" t="s">
        <v>27</v>
      </c>
      <c r="N38" s="2" t="s">
        <v>29</v>
      </c>
      <c r="O38" s="2" t="s">
        <v>32</v>
      </c>
    </row>
    <row r="39" spans="1:15" x14ac:dyDescent="0.25">
      <c r="C39" s="2">
        <f>E17</f>
        <v>1000</v>
      </c>
      <c r="D39" s="2">
        <f>E18</f>
        <v>0.80923999999999996</v>
      </c>
      <c r="E39" s="2">
        <f>E19</f>
        <v>52.564999999999998</v>
      </c>
      <c r="F39" s="1">
        <f>E20</f>
        <v>2.2222222222222223E-2</v>
      </c>
      <c r="G39" s="1">
        <f>E21</f>
        <v>5.5555555555555559E-2</v>
      </c>
      <c r="H39" s="2">
        <f>E22</f>
        <v>700</v>
      </c>
      <c r="I39" s="2">
        <f>E23</f>
        <v>181.45000000000002</v>
      </c>
      <c r="J39" s="2">
        <f>E24</f>
        <v>116.7</v>
      </c>
      <c r="K39" s="1">
        <f>E25</f>
        <v>2.2222222222222223E-2</v>
      </c>
      <c r="L39" s="1">
        <f>E26</f>
        <v>5.5555555555555559E-2</v>
      </c>
      <c r="M39" s="2">
        <f>E27</f>
        <v>0.01</v>
      </c>
      <c r="N39" s="2">
        <f>E28</f>
        <v>1.0000000000000002E-2</v>
      </c>
      <c r="O39" s="2">
        <f>E29</f>
        <v>0.03</v>
      </c>
    </row>
    <row r="40" spans="1:15" x14ac:dyDescent="0.25">
      <c r="C40" s="2"/>
      <c r="D40" s="2"/>
      <c r="E40" s="2"/>
      <c r="H40" s="2"/>
      <c r="I40" s="2"/>
      <c r="J40" s="2"/>
      <c r="M40" s="2"/>
      <c r="N40" s="2"/>
      <c r="O40" s="2"/>
    </row>
    <row r="41" spans="1:15" x14ac:dyDescent="0.25">
      <c r="A41" s="2" t="s">
        <v>5</v>
      </c>
      <c r="B41" s="1">
        <f>A_CT</f>
        <v>20000</v>
      </c>
      <c r="C41" s="1">
        <f>A_CT+C39</f>
        <v>21000</v>
      </c>
      <c r="D41" s="1">
        <f t="shared" ref="D41:O41" si="0">A_CT</f>
        <v>20000</v>
      </c>
      <c r="E41" s="1">
        <f t="shared" si="0"/>
        <v>20000</v>
      </c>
      <c r="F41" s="1">
        <f t="shared" si="0"/>
        <v>20000</v>
      </c>
      <c r="G41" s="1">
        <f t="shared" si="0"/>
        <v>20000</v>
      </c>
      <c r="H41" s="1">
        <f t="shared" si="0"/>
        <v>20000</v>
      </c>
      <c r="I41" s="1">
        <f t="shared" si="0"/>
        <v>20000</v>
      </c>
      <c r="J41" s="1">
        <f t="shared" si="0"/>
        <v>20000</v>
      </c>
      <c r="K41" s="1">
        <f t="shared" si="0"/>
        <v>20000</v>
      </c>
      <c r="L41" s="1">
        <f t="shared" si="0"/>
        <v>20000</v>
      </c>
      <c r="M41" s="1">
        <f t="shared" si="0"/>
        <v>20000</v>
      </c>
      <c r="N41" s="1">
        <f t="shared" si="0"/>
        <v>20000</v>
      </c>
      <c r="O41" s="1">
        <f t="shared" si="0"/>
        <v>20000</v>
      </c>
    </row>
    <row r="42" spans="1:15" x14ac:dyDescent="0.25">
      <c r="A42" s="2" t="s">
        <v>9</v>
      </c>
      <c r="B42" s="1">
        <f>b_CT</f>
        <v>8.0923999999999996</v>
      </c>
      <c r="C42" s="1">
        <f>b_CT</f>
        <v>8.0923999999999996</v>
      </c>
      <c r="D42" s="1">
        <f>b_CT+D39</f>
        <v>8.9016400000000004</v>
      </c>
      <c r="E42" s="1">
        <f t="shared" ref="E42:O42" si="1">b_CT</f>
        <v>8.0923999999999996</v>
      </c>
      <c r="F42" s="1">
        <f t="shared" si="1"/>
        <v>8.0923999999999996</v>
      </c>
      <c r="G42" s="1">
        <f t="shared" si="1"/>
        <v>8.0923999999999996</v>
      </c>
      <c r="H42" s="1">
        <f t="shared" si="1"/>
        <v>8.0923999999999996</v>
      </c>
      <c r="I42" s="1">
        <f t="shared" si="1"/>
        <v>8.0923999999999996</v>
      </c>
      <c r="J42" s="1">
        <f t="shared" si="1"/>
        <v>8.0923999999999996</v>
      </c>
      <c r="K42" s="1">
        <f t="shared" si="1"/>
        <v>8.0923999999999996</v>
      </c>
      <c r="L42" s="1">
        <f t="shared" si="1"/>
        <v>8.0923999999999996</v>
      </c>
      <c r="M42" s="1">
        <f t="shared" si="1"/>
        <v>8.0923999999999996</v>
      </c>
      <c r="N42" s="1">
        <f t="shared" si="1"/>
        <v>8.0923999999999996</v>
      </c>
      <c r="O42" s="1">
        <f t="shared" si="1"/>
        <v>8.0923999999999996</v>
      </c>
    </row>
    <row r="43" spans="1:15" x14ac:dyDescent="0.25">
      <c r="A43" s="2" t="s">
        <v>10</v>
      </c>
      <c r="B43" s="1">
        <f>m_CT</f>
        <v>1051.3</v>
      </c>
      <c r="C43" s="1">
        <f>m_CT</f>
        <v>1051.3</v>
      </c>
      <c r="D43" s="1">
        <f>m_CT</f>
        <v>1051.3</v>
      </c>
      <c r="E43" s="1">
        <f>m_CT+E39</f>
        <v>1103.865</v>
      </c>
      <c r="F43" s="1">
        <f t="shared" ref="F43:O43" si="2">m_CT</f>
        <v>1051.3</v>
      </c>
      <c r="G43" s="1">
        <f t="shared" si="2"/>
        <v>1051.3</v>
      </c>
      <c r="H43" s="1">
        <f t="shared" si="2"/>
        <v>1051.3</v>
      </c>
      <c r="I43" s="1">
        <f t="shared" si="2"/>
        <v>1051.3</v>
      </c>
      <c r="J43" s="1">
        <f t="shared" si="2"/>
        <v>1051.3</v>
      </c>
      <c r="K43" s="1">
        <f t="shared" si="2"/>
        <v>1051.3</v>
      </c>
      <c r="L43" s="1">
        <f t="shared" si="2"/>
        <v>1051.3</v>
      </c>
      <c r="M43" s="1">
        <f t="shared" si="2"/>
        <v>1051.3</v>
      </c>
      <c r="N43" s="1">
        <f t="shared" si="2"/>
        <v>1051.3</v>
      </c>
      <c r="O43" s="1">
        <f t="shared" si="2"/>
        <v>1051.3</v>
      </c>
    </row>
    <row r="44" spans="1:15" x14ac:dyDescent="0.25">
      <c r="A44" s="1" t="s">
        <v>13</v>
      </c>
      <c r="B44" s="1">
        <f>F_RecupCT</f>
        <v>1.1111111111111112</v>
      </c>
      <c r="C44" s="1">
        <f>F_RecupCT</f>
        <v>1.1111111111111112</v>
      </c>
      <c r="D44" s="1">
        <f>F_RecupCT</f>
        <v>1.1111111111111112</v>
      </c>
      <c r="E44" s="1">
        <f>F_RecupCT</f>
        <v>1.1111111111111112</v>
      </c>
      <c r="F44" s="1">
        <f>F_RecupCT+F39</f>
        <v>1.1333333333333333</v>
      </c>
      <c r="G44" s="1">
        <f t="shared" ref="G44:O44" si="3">F_RecupCT</f>
        <v>1.1111111111111112</v>
      </c>
      <c r="H44" s="1">
        <f t="shared" si="3"/>
        <v>1.1111111111111112</v>
      </c>
      <c r="I44" s="1">
        <f t="shared" si="3"/>
        <v>1.1111111111111112</v>
      </c>
      <c r="J44" s="1">
        <f t="shared" si="3"/>
        <v>1.1111111111111112</v>
      </c>
      <c r="K44" s="1">
        <f t="shared" si="3"/>
        <v>1.1111111111111112</v>
      </c>
      <c r="L44" s="1">
        <f t="shared" si="3"/>
        <v>1.1111111111111112</v>
      </c>
      <c r="M44" s="1">
        <f t="shared" si="3"/>
        <v>1.1111111111111112</v>
      </c>
      <c r="N44" s="1">
        <f t="shared" si="3"/>
        <v>1.1111111111111112</v>
      </c>
      <c r="O44" s="1">
        <f t="shared" si="3"/>
        <v>1.1111111111111112</v>
      </c>
    </row>
    <row r="45" spans="1:15" x14ac:dyDescent="0.25">
      <c r="A45" s="1" t="s">
        <v>15</v>
      </c>
      <c r="B45" s="1">
        <f>F_MatrizCT</f>
        <v>1.1111111111111112</v>
      </c>
      <c r="C45" s="1">
        <f>F_MatrizCT</f>
        <v>1.1111111111111112</v>
      </c>
      <c r="D45" s="1">
        <f>F_MatrizCT</f>
        <v>1.1111111111111112</v>
      </c>
      <c r="E45" s="1">
        <f>F_MatrizCT</f>
        <v>1.1111111111111112</v>
      </c>
      <c r="F45" s="1">
        <f>F_MatrizCT</f>
        <v>1.1111111111111112</v>
      </c>
      <c r="G45" s="1">
        <f>F_MatrizCT+G39</f>
        <v>1.1666666666666667</v>
      </c>
      <c r="H45" s="1">
        <f t="shared" ref="H45:O45" si="4">F_MatrizCT</f>
        <v>1.1111111111111112</v>
      </c>
      <c r="I45" s="1">
        <f t="shared" si="4"/>
        <v>1.1111111111111112</v>
      </c>
      <c r="J45" s="1">
        <f t="shared" si="4"/>
        <v>1.1111111111111112</v>
      </c>
      <c r="K45" s="1">
        <f t="shared" si="4"/>
        <v>1.1111111111111112</v>
      </c>
      <c r="L45" s="1">
        <f t="shared" si="4"/>
        <v>1.1111111111111112</v>
      </c>
      <c r="M45" s="1">
        <f t="shared" si="4"/>
        <v>1.1111111111111112</v>
      </c>
      <c r="N45" s="1">
        <f t="shared" si="4"/>
        <v>1.1111111111111112</v>
      </c>
      <c r="O45" s="1">
        <f t="shared" si="4"/>
        <v>1.1111111111111112</v>
      </c>
    </row>
    <row r="46" spans="1:15" x14ac:dyDescent="0.25">
      <c r="A46" s="2" t="s">
        <v>22</v>
      </c>
      <c r="B46" s="1">
        <f t="shared" ref="B46:G46" si="5">A_CI</f>
        <v>14000</v>
      </c>
      <c r="C46" s="1">
        <f t="shared" si="5"/>
        <v>14000</v>
      </c>
      <c r="D46" s="1">
        <f t="shared" si="5"/>
        <v>14000</v>
      </c>
      <c r="E46" s="1">
        <f t="shared" si="5"/>
        <v>14000</v>
      </c>
      <c r="F46" s="1">
        <f t="shared" si="5"/>
        <v>14000</v>
      </c>
      <c r="G46" s="1">
        <f t="shared" si="5"/>
        <v>14000</v>
      </c>
      <c r="H46" s="1">
        <f>A_CI+H39</f>
        <v>14700</v>
      </c>
      <c r="I46" s="1">
        <f t="shared" ref="I46:O46" si="6">A_CI</f>
        <v>14000</v>
      </c>
      <c r="J46" s="1">
        <f t="shared" si="6"/>
        <v>14000</v>
      </c>
      <c r="K46" s="1">
        <f t="shared" si="6"/>
        <v>14000</v>
      </c>
      <c r="L46" s="1">
        <f t="shared" si="6"/>
        <v>14000</v>
      </c>
      <c r="M46" s="1">
        <f t="shared" si="6"/>
        <v>14000</v>
      </c>
      <c r="N46" s="1">
        <f t="shared" si="6"/>
        <v>14000</v>
      </c>
      <c r="O46" s="1">
        <f t="shared" si="6"/>
        <v>14000</v>
      </c>
    </row>
    <row r="47" spans="1:15" x14ac:dyDescent="0.25">
      <c r="A47" s="2" t="s">
        <v>23</v>
      </c>
      <c r="B47" s="1">
        <f t="shared" ref="B47:H47" si="7">b_CI</f>
        <v>1814.5</v>
      </c>
      <c r="C47" s="1">
        <f t="shared" si="7"/>
        <v>1814.5</v>
      </c>
      <c r="D47" s="1">
        <f t="shared" si="7"/>
        <v>1814.5</v>
      </c>
      <c r="E47" s="1">
        <f t="shared" si="7"/>
        <v>1814.5</v>
      </c>
      <c r="F47" s="1">
        <f t="shared" si="7"/>
        <v>1814.5</v>
      </c>
      <c r="G47" s="1">
        <f t="shared" si="7"/>
        <v>1814.5</v>
      </c>
      <c r="H47" s="1">
        <f t="shared" si="7"/>
        <v>1814.5</v>
      </c>
      <c r="I47" s="1">
        <f>b_CI+I39</f>
        <v>1995.95</v>
      </c>
      <c r="J47" s="1">
        <f t="shared" ref="J47:O47" si="8">b_CI</f>
        <v>1814.5</v>
      </c>
      <c r="K47" s="1">
        <f t="shared" si="8"/>
        <v>1814.5</v>
      </c>
      <c r="L47" s="1">
        <f t="shared" si="8"/>
        <v>1814.5</v>
      </c>
      <c r="M47" s="1">
        <f t="shared" si="8"/>
        <v>1814.5</v>
      </c>
      <c r="N47" s="1">
        <f t="shared" si="8"/>
        <v>1814.5</v>
      </c>
      <c r="O47" s="1">
        <f t="shared" si="8"/>
        <v>1814.5</v>
      </c>
    </row>
    <row r="48" spans="1:15" x14ac:dyDescent="0.25">
      <c r="A48" s="2" t="s">
        <v>24</v>
      </c>
      <c r="B48" s="1">
        <f t="shared" ref="B48:I48" si="9">m_CI</f>
        <v>1167</v>
      </c>
      <c r="C48" s="1">
        <f t="shared" si="9"/>
        <v>1167</v>
      </c>
      <c r="D48" s="1">
        <f t="shared" si="9"/>
        <v>1167</v>
      </c>
      <c r="E48" s="1">
        <f t="shared" si="9"/>
        <v>1167</v>
      </c>
      <c r="F48" s="1">
        <f t="shared" si="9"/>
        <v>1167</v>
      </c>
      <c r="G48" s="1">
        <f t="shared" si="9"/>
        <v>1167</v>
      </c>
      <c r="H48" s="1">
        <f t="shared" si="9"/>
        <v>1167</v>
      </c>
      <c r="I48" s="1">
        <f t="shared" si="9"/>
        <v>1167</v>
      </c>
      <c r="J48" s="1">
        <f>m_CI+J39</f>
        <v>1283.7</v>
      </c>
      <c r="K48" s="1">
        <f>m_CI</f>
        <v>1167</v>
      </c>
      <c r="L48" s="1">
        <f>m_CI</f>
        <v>1167</v>
      </c>
      <c r="M48" s="1">
        <f>m_CI</f>
        <v>1167</v>
      </c>
      <c r="N48" s="1">
        <f>m_CI</f>
        <v>1167</v>
      </c>
      <c r="O48" s="1">
        <f>m_CI</f>
        <v>1167</v>
      </c>
    </row>
    <row r="49" spans="1:15" x14ac:dyDescent="0.25">
      <c r="A49" s="1" t="s">
        <v>25</v>
      </c>
      <c r="B49" s="1">
        <f t="shared" ref="B49:J49" si="10">F_RecupCI</f>
        <v>1.1111111111111112</v>
      </c>
      <c r="C49" s="1">
        <f t="shared" si="10"/>
        <v>1.1111111111111112</v>
      </c>
      <c r="D49" s="1">
        <f t="shared" si="10"/>
        <v>1.1111111111111112</v>
      </c>
      <c r="E49" s="1">
        <f t="shared" si="10"/>
        <v>1.1111111111111112</v>
      </c>
      <c r="F49" s="1">
        <f t="shared" si="10"/>
        <v>1.1111111111111112</v>
      </c>
      <c r="G49" s="1">
        <f t="shared" si="10"/>
        <v>1.1111111111111112</v>
      </c>
      <c r="H49" s="1">
        <f t="shared" si="10"/>
        <v>1.1111111111111112</v>
      </c>
      <c r="I49" s="1">
        <f t="shared" si="10"/>
        <v>1.1111111111111112</v>
      </c>
      <c r="J49" s="1">
        <f t="shared" si="10"/>
        <v>1.1111111111111112</v>
      </c>
      <c r="K49" s="1">
        <f>F_RecupCI+K39</f>
        <v>1.1333333333333333</v>
      </c>
      <c r="L49" s="1">
        <f>F_RecupCI</f>
        <v>1.1111111111111112</v>
      </c>
      <c r="M49" s="1">
        <f>F_RecupCI</f>
        <v>1.1111111111111112</v>
      </c>
      <c r="N49" s="1">
        <f>F_RecupCI</f>
        <v>1.1111111111111112</v>
      </c>
      <c r="O49" s="1">
        <f>F_RecupCI</f>
        <v>1.1111111111111112</v>
      </c>
    </row>
    <row r="50" spans="1:15" x14ac:dyDescent="0.25">
      <c r="A50" s="1" t="s">
        <v>26</v>
      </c>
      <c r="B50" s="1">
        <f t="shared" ref="B50:K50" si="11">F_MatrizCI</f>
        <v>1.1111111111111112</v>
      </c>
      <c r="C50" s="1">
        <f t="shared" si="11"/>
        <v>1.1111111111111112</v>
      </c>
      <c r="D50" s="1">
        <f t="shared" si="11"/>
        <v>1.1111111111111112</v>
      </c>
      <c r="E50" s="1">
        <f t="shared" si="11"/>
        <v>1.1111111111111112</v>
      </c>
      <c r="F50" s="1">
        <f t="shared" si="11"/>
        <v>1.1111111111111112</v>
      </c>
      <c r="G50" s="1">
        <f t="shared" si="11"/>
        <v>1.1111111111111112</v>
      </c>
      <c r="H50" s="1">
        <f t="shared" si="11"/>
        <v>1.1111111111111112</v>
      </c>
      <c r="I50" s="1">
        <f t="shared" si="11"/>
        <v>1.1111111111111112</v>
      </c>
      <c r="J50" s="1">
        <f t="shared" si="11"/>
        <v>1.1111111111111112</v>
      </c>
      <c r="K50" s="1">
        <f t="shared" si="11"/>
        <v>1.1111111111111112</v>
      </c>
      <c r="L50" s="1">
        <f>F_MatrizCI+L39</f>
        <v>1.1666666666666667</v>
      </c>
      <c r="M50" s="1">
        <f>F_MatrizCI</f>
        <v>1.1111111111111112</v>
      </c>
      <c r="N50" s="1">
        <f>F_MatrizCI</f>
        <v>1.1111111111111112</v>
      </c>
      <c r="O50" s="1">
        <f>F_MatrizCI</f>
        <v>1.1111111111111112</v>
      </c>
    </row>
    <row r="51" spans="1:15" x14ac:dyDescent="0.25">
      <c r="A51" s="2" t="s">
        <v>27</v>
      </c>
      <c r="B51" s="1">
        <f t="shared" ref="B51:L51" si="12">F_dil</f>
        <v>2</v>
      </c>
      <c r="C51" s="1">
        <f t="shared" si="12"/>
        <v>2</v>
      </c>
      <c r="D51" s="1">
        <f t="shared" si="12"/>
        <v>2</v>
      </c>
      <c r="E51" s="1">
        <f t="shared" si="12"/>
        <v>2</v>
      </c>
      <c r="F51" s="1">
        <f t="shared" si="12"/>
        <v>2</v>
      </c>
      <c r="G51" s="1">
        <f t="shared" si="12"/>
        <v>2</v>
      </c>
      <c r="H51" s="1">
        <f t="shared" si="12"/>
        <v>2</v>
      </c>
      <c r="I51" s="1">
        <f t="shared" si="12"/>
        <v>2</v>
      </c>
      <c r="J51" s="1">
        <f t="shared" si="12"/>
        <v>2</v>
      </c>
      <c r="K51" s="1">
        <f t="shared" si="12"/>
        <v>2</v>
      </c>
      <c r="L51" s="1">
        <f t="shared" si="12"/>
        <v>2</v>
      </c>
      <c r="M51" s="1">
        <f>F_dil+M39</f>
        <v>2.0099999999999998</v>
      </c>
      <c r="N51" s="1">
        <f>F_dil</f>
        <v>2</v>
      </c>
      <c r="O51" s="1">
        <f>F_dil</f>
        <v>2</v>
      </c>
    </row>
    <row r="52" spans="1:15" x14ac:dyDescent="0.25">
      <c r="A52" s="2" t="s">
        <v>29</v>
      </c>
      <c r="B52" s="1">
        <f t="shared" ref="B52:M52" si="13">blank_CT</f>
        <v>0.1</v>
      </c>
      <c r="C52" s="1">
        <f t="shared" si="13"/>
        <v>0.1</v>
      </c>
      <c r="D52" s="1">
        <f t="shared" si="13"/>
        <v>0.1</v>
      </c>
      <c r="E52" s="1">
        <f t="shared" si="13"/>
        <v>0.1</v>
      </c>
      <c r="F52" s="1">
        <f t="shared" si="13"/>
        <v>0.1</v>
      </c>
      <c r="G52" s="1">
        <f t="shared" si="13"/>
        <v>0.1</v>
      </c>
      <c r="H52" s="1">
        <f t="shared" si="13"/>
        <v>0.1</v>
      </c>
      <c r="I52" s="1">
        <f t="shared" si="13"/>
        <v>0.1</v>
      </c>
      <c r="J52" s="1">
        <f t="shared" si="13"/>
        <v>0.1</v>
      </c>
      <c r="K52" s="1">
        <f t="shared" si="13"/>
        <v>0.1</v>
      </c>
      <c r="L52" s="1">
        <f t="shared" si="13"/>
        <v>0.1</v>
      </c>
      <c r="M52" s="1">
        <f t="shared" si="13"/>
        <v>0.1</v>
      </c>
      <c r="N52" s="1">
        <f>blank_CT+N39</f>
        <v>0.11000000000000001</v>
      </c>
      <c r="O52" s="1">
        <f>blank_CT</f>
        <v>0.1</v>
      </c>
    </row>
    <row r="53" spans="1:15" x14ac:dyDescent="0.25">
      <c r="A53" s="2" t="s">
        <v>32</v>
      </c>
      <c r="B53" s="1">
        <f t="shared" ref="B53:N53" si="14">Blank_CI</f>
        <v>0.3</v>
      </c>
      <c r="C53" s="1">
        <f t="shared" si="14"/>
        <v>0.3</v>
      </c>
      <c r="D53" s="1">
        <f t="shared" si="14"/>
        <v>0.3</v>
      </c>
      <c r="E53" s="1">
        <f t="shared" si="14"/>
        <v>0.3</v>
      </c>
      <c r="F53" s="1">
        <f t="shared" si="14"/>
        <v>0.3</v>
      </c>
      <c r="G53" s="1">
        <f t="shared" si="14"/>
        <v>0.3</v>
      </c>
      <c r="H53" s="1">
        <f t="shared" si="14"/>
        <v>0.3</v>
      </c>
      <c r="I53" s="1">
        <f t="shared" si="14"/>
        <v>0.3</v>
      </c>
      <c r="J53" s="1">
        <f t="shared" si="14"/>
        <v>0.3</v>
      </c>
      <c r="K53" s="1">
        <f t="shared" si="14"/>
        <v>0.3</v>
      </c>
      <c r="L53" s="1">
        <f t="shared" si="14"/>
        <v>0.3</v>
      </c>
      <c r="M53" s="1">
        <f t="shared" si="14"/>
        <v>0.3</v>
      </c>
      <c r="N53" s="1">
        <f t="shared" si="14"/>
        <v>0.3</v>
      </c>
      <c r="O53" s="1">
        <f>Blank_CI+O39</f>
        <v>0.32999999999999996</v>
      </c>
    </row>
    <row r="54" spans="1:15" ht="13.8" thickBot="1" x14ac:dyDescent="0.3"/>
    <row r="55" spans="1:15" ht="13.8" thickBot="1" x14ac:dyDescent="0.3">
      <c r="A55" s="2" t="s">
        <v>1</v>
      </c>
      <c r="B55" s="17">
        <f>((B41-B42)/B43*B44*B45-(B46-B47)/B48*B49*B50)*B51-B52+B53</f>
        <v>21.371943188658797</v>
      </c>
      <c r="C55" s="1">
        <f t="shared" ref="C55:O55" si="15">((C41-C42)/C43*C44*C45-(C46-C47)/C48*C49*C50)*C51-C52+C53</f>
        <v>23.72059324332362</v>
      </c>
      <c r="D55" s="1">
        <f t="shared" si="15"/>
        <v>21.370042567088561</v>
      </c>
      <c r="E55" s="1">
        <f t="shared" si="15"/>
        <v>19.136038670678118</v>
      </c>
      <c r="F55" s="1">
        <f t="shared" si="15"/>
        <v>22.311023086210675</v>
      </c>
      <c r="G55" s="1">
        <f t="shared" si="15"/>
        <v>23.719642932538513</v>
      </c>
      <c r="H55" s="1">
        <f t="shared" si="15"/>
        <v>19.890884866697871</v>
      </c>
      <c r="I55" s="1">
        <f t="shared" si="15"/>
        <v>21.755854663687096</v>
      </c>
      <c r="J55" s="1">
        <f t="shared" si="15"/>
        <v>23.715766069471105</v>
      </c>
      <c r="K55" s="1">
        <f t="shared" si="15"/>
        <v>20.85630215488009</v>
      </c>
      <c r="L55" s="1">
        <f t="shared" si="15"/>
        <v>20.082840604212024</v>
      </c>
      <c r="M55" s="1">
        <f t="shared" si="15"/>
        <v>21.47780290460209</v>
      </c>
      <c r="N55" s="1">
        <f t="shared" si="15"/>
        <v>21.361943188658799</v>
      </c>
      <c r="O55" s="1">
        <f t="shared" si="15"/>
        <v>21.401943188658795</v>
      </c>
    </row>
    <row r="56" spans="1:15" ht="13.8" thickBot="1" x14ac:dyDescent="0.3">
      <c r="A56" s="1" t="s">
        <v>42</v>
      </c>
      <c r="C56" s="1">
        <f>C55-$B$55</f>
        <v>2.348650054664823</v>
      </c>
      <c r="D56" s="1">
        <f t="shared" ref="D56:O56" si="16">D55-$B$55</f>
        <v>-1.9006215702361828E-3</v>
      </c>
      <c r="E56" s="1">
        <f t="shared" si="16"/>
        <v>-2.2359045179806785</v>
      </c>
      <c r="F56" s="1">
        <f t="shared" si="16"/>
        <v>0.93907989755187771</v>
      </c>
      <c r="G56" s="1">
        <f t="shared" si="16"/>
        <v>2.3476997438797156</v>
      </c>
      <c r="H56" s="1">
        <f t="shared" si="16"/>
        <v>-1.4810583219609263</v>
      </c>
      <c r="I56" s="1">
        <f t="shared" si="16"/>
        <v>0.38391147502829881</v>
      </c>
      <c r="J56" s="1">
        <f t="shared" si="16"/>
        <v>2.3438228808123078</v>
      </c>
      <c r="K56" s="1">
        <f t="shared" si="16"/>
        <v>-0.51564103377870651</v>
      </c>
      <c r="L56" s="1">
        <f t="shared" si="16"/>
        <v>-1.2891025844467734</v>
      </c>
      <c r="M56" s="1">
        <f t="shared" si="16"/>
        <v>0.1058597159432928</v>
      </c>
      <c r="N56" s="1">
        <f t="shared" si="16"/>
        <v>-9.9999999999980105E-3</v>
      </c>
      <c r="O56" s="1">
        <f t="shared" si="16"/>
        <v>2.9999999999997584E-2</v>
      </c>
    </row>
    <row r="57" spans="1:15" ht="13.8" thickBot="1" x14ac:dyDescent="0.3">
      <c r="A57" s="1" t="s">
        <v>43</v>
      </c>
      <c r="B57" s="17">
        <f>SQRT(SUM(C57:O57))</f>
        <v>5.1655880348025729</v>
      </c>
      <c r="C57" s="1">
        <f>C56^2</f>
        <v>5.5161570792770762</v>
      </c>
      <c r="D57" s="1">
        <f t="shared" ref="D57:O57" si="17">D56^2</f>
        <v>3.6123623532470533E-6</v>
      </c>
      <c r="E57" s="1">
        <f t="shared" si="17"/>
        <v>4.9992690135264102</v>
      </c>
      <c r="F57" s="1">
        <f t="shared" si="17"/>
        <v>0.88187105398604515</v>
      </c>
      <c r="G57" s="1">
        <f t="shared" si="17"/>
        <v>5.5116940874128826</v>
      </c>
      <c r="H57" s="1">
        <f t="shared" si="17"/>
        <v>2.193533753049715</v>
      </c>
      <c r="I57" s="1">
        <f t="shared" si="17"/>
        <v>0.14738802065840409</v>
      </c>
      <c r="J57" s="1">
        <f t="shared" si="17"/>
        <v>5.4935056966193061</v>
      </c>
      <c r="K57" s="1">
        <f t="shared" si="17"/>
        <v>0.26588567571637317</v>
      </c>
      <c r="L57" s="1">
        <f t="shared" si="17"/>
        <v>1.6617854732273505</v>
      </c>
      <c r="M57" s="1">
        <f t="shared" si="17"/>
        <v>1.120627945959464E-2</v>
      </c>
      <c r="N57" s="1">
        <f t="shared" si="17"/>
        <v>9.9999999999960215E-5</v>
      </c>
      <c r="O57" s="1">
        <f t="shared" si="17"/>
        <v>8.9999999999985502E-4</v>
      </c>
    </row>
    <row r="59" spans="1:15" x14ac:dyDescent="0.25">
      <c r="A59" s="1" t="s">
        <v>44</v>
      </c>
      <c r="C59" s="1">
        <f>ABS(C56)</f>
        <v>2.348650054664823</v>
      </c>
      <c r="D59" s="1">
        <f t="shared" ref="D59:O59" si="18">ABS(D56)</f>
        <v>1.9006215702361828E-3</v>
      </c>
      <c r="E59" s="1">
        <f t="shared" si="18"/>
        <v>2.2359045179806785</v>
      </c>
      <c r="F59" s="1">
        <f t="shared" si="18"/>
        <v>0.93907989755187771</v>
      </c>
      <c r="G59" s="1">
        <f t="shared" si="18"/>
        <v>2.3476997438797156</v>
      </c>
      <c r="H59" s="1">
        <f t="shared" si="18"/>
        <v>1.4810583219609263</v>
      </c>
      <c r="I59" s="1">
        <f t="shared" si="18"/>
        <v>0.38391147502829881</v>
      </c>
      <c r="J59" s="1">
        <f t="shared" si="18"/>
        <v>2.3438228808123078</v>
      </c>
      <c r="K59" s="1">
        <f t="shared" si="18"/>
        <v>0.51564103377870651</v>
      </c>
      <c r="L59" s="1">
        <f t="shared" si="18"/>
        <v>1.2891025844467734</v>
      </c>
      <c r="M59" s="1">
        <f t="shared" si="18"/>
        <v>0.1058597159432928</v>
      </c>
      <c r="N59" s="1">
        <f t="shared" si="18"/>
        <v>9.9999999999980105E-3</v>
      </c>
      <c r="O59" s="1">
        <f t="shared" si="18"/>
        <v>2.9999999999997584E-2</v>
      </c>
    </row>
    <row r="60" spans="1:15" x14ac:dyDescent="0.25">
      <c r="A60" s="1" t="s">
        <v>45</v>
      </c>
      <c r="C60" s="1">
        <f t="shared" ref="C60:O60" si="19">C56/C39</f>
        <v>2.3486500546648229E-3</v>
      </c>
      <c r="D60" s="1">
        <f t="shared" si="19"/>
        <v>-2.348650054663861E-3</v>
      </c>
      <c r="E60" s="1">
        <f t="shared" si="19"/>
        <v>-4.2535993873883356E-2</v>
      </c>
      <c r="F60" s="1">
        <f t="shared" si="19"/>
        <v>42.258595389834497</v>
      </c>
      <c r="G60" s="1">
        <f t="shared" si="19"/>
        <v>42.258595389834881</v>
      </c>
      <c r="H60" s="1">
        <f t="shared" si="19"/>
        <v>-2.1157976028013232E-3</v>
      </c>
      <c r="I60" s="1">
        <f t="shared" si="19"/>
        <v>2.1157976028013158E-3</v>
      </c>
      <c r="J60" s="1">
        <f t="shared" si="19"/>
        <v>2.0084172072084898E-2</v>
      </c>
      <c r="K60" s="1">
        <f t="shared" si="19"/>
        <v>-23.203846520041793</v>
      </c>
      <c r="L60" s="1">
        <f t="shared" si="19"/>
        <v>-23.203846520041921</v>
      </c>
      <c r="M60" s="1">
        <f t="shared" si="19"/>
        <v>10.58597159432928</v>
      </c>
      <c r="N60" s="1">
        <f t="shared" si="19"/>
        <v>-0.99999999999980083</v>
      </c>
      <c r="O60" s="1">
        <f t="shared" si="19"/>
        <v>0.99999999999991951</v>
      </c>
    </row>
    <row r="62" spans="1:15" x14ac:dyDescent="0.25">
      <c r="C62" s="3" t="s">
        <v>54</v>
      </c>
    </row>
    <row r="63" spans="1:15" x14ac:dyDescent="0.25">
      <c r="A63" s="4" t="s">
        <v>5</v>
      </c>
      <c r="B63" s="4">
        <f>C59</f>
        <v>2.348650054664823</v>
      </c>
      <c r="C63" s="7" t="s">
        <v>9</v>
      </c>
      <c r="D63" s="8">
        <v>1.9006215702361828E-3</v>
      </c>
    </row>
    <row r="64" spans="1:15" x14ac:dyDescent="0.25">
      <c r="A64" s="4" t="s">
        <v>9</v>
      </c>
      <c r="B64" s="4">
        <f>D59</f>
        <v>1.9006215702361828E-3</v>
      </c>
      <c r="C64" s="9" t="s">
        <v>29</v>
      </c>
      <c r="D64" s="10">
        <v>9.9999999999980105E-3</v>
      </c>
    </row>
    <row r="65" spans="1:4" x14ac:dyDescent="0.25">
      <c r="A65" s="4" t="s">
        <v>10</v>
      </c>
      <c r="B65" s="4">
        <f>E59</f>
        <v>2.2359045179806785</v>
      </c>
      <c r="C65" s="9" t="s">
        <v>32</v>
      </c>
      <c r="D65" s="10">
        <v>2.9999999999997584E-2</v>
      </c>
    </row>
    <row r="66" spans="1:4" x14ac:dyDescent="0.25">
      <c r="A66" s="4" t="s">
        <v>13</v>
      </c>
      <c r="B66" s="4">
        <f>F59</f>
        <v>0.93907989755187771</v>
      </c>
      <c r="C66" s="9" t="s">
        <v>27</v>
      </c>
      <c r="D66" s="10">
        <v>0.1058597159432928</v>
      </c>
    </row>
    <row r="67" spans="1:4" x14ac:dyDescent="0.25">
      <c r="A67" s="4" t="s">
        <v>15</v>
      </c>
      <c r="B67" s="4">
        <f>G59</f>
        <v>2.3476997438797156</v>
      </c>
      <c r="C67" s="9" t="s">
        <v>23</v>
      </c>
      <c r="D67" s="10">
        <v>0.38391147502829881</v>
      </c>
    </row>
    <row r="68" spans="1:4" x14ac:dyDescent="0.25">
      <c r="A68" s="4" t="s">
        <v>22</v>
      </c>
      <c r="B68" s="4">
        <f>H59</f>
        <v>1.4810583219609263</v>
      </c>
      <c r="C68" s="9" t="s">
        <v>25</v>
      </c>
      <c r="D68" s="10">
        <v>0.51564103377870651</v>
      </c>
    </row>
    <row r="69" spans="1:4" x14ac:dyDescent="0.25">
      <c r="A69" s="4" t="s">
        <v>23</v>
      </c>
      <c r="B69" s="4">
        <f>I59</f>
        <v>0.38391147502829881</v>
      </c>
      <c r="C69" s="9" t="s">
        <v>13</v>
      </c>
      <c r="D69" s="10">
        <v>0.93907989755187771</v>
      </c>
    </row>
    <row r="70" spans="1:4" x14ac:dyDescent="0.25">
      <c r="A70" s="4" t="s">
        <v>24</v>
      </c>
      <c r="B70" s="4">
        <f>J59</f>
        <v>2.3438228808123078</v>
      </c>
      <c r="C70" s="9" t="s">
        <v>26</v>
      </c>
      <c r="D70" s="10">
        <v>1.2891025844467734</v>
      </c>
    </row>
    <row r="71" spans="1:4" x14ac:dyDescent="0.25">
      <c r="A71" s="4" t="s">
        <v>25</v>
      </c>
      <c r="B71" s="4">
        <f>K59</f>
        <v>0.51564103377870651</v>
      </c>
      <c r="C71" s="9" t="s">
        <v>22</v>
      </c>
      <c r="D71" s="10">
        <v>1.4810583219609263</v>
      </c>
    </row>
    <row r="72" spans="1:4" x14ac:dyDescent="0.25">
      <c r="A72" s="4" t="s">
        <v>26</v>
      </c>
      <c r="B72" s="4">
        <f>L59</f>
        <v>1.2891025844467734</v>
      </c>
      <c r="C72" s="9" t="s">
        <v>10</v>
      </c>
      <c r="D72" s="10">
        <v>2.2359045179806785</v>
      </c>
    </row>
    <row r="73" spans="1:4" x14ac:dyDescent="0.25">
      <c r="A73" s="4" t="s">
        <v>27</v>
      </c>
      <c r="B73" s="4">
        <f>M59</f>
        <v>0.1058597159432928</v>
      </c>
      <c r="C73" s="9" t="s">
        <v>24</v>
      </c>
      <c r="D73" s="10">
        <v>2.3438228808123078</v>
      </c>
    </row>
    <row r="74" spans="1:4" x14ac:dyDescent="0.25">
      <c r="A74" s="4" t="s">
        <v>29</v>
      </c>
      <c r="B74" s="4">
        <f>N59</f>
        <v>9.9999999999980105E-3</v>
      </c>
      <c r="C74" s="9" t="s">
        <v>15</v>
      </c>
      <c r="D74" s="10">
        <v>2.3476997438797156</v>
      </c>
    </row>
    <row r="75" spans="1:4" x14ac:dyDescent="0.25">
      <c r="A75" s="4" t="s">
        <v>32</v>
      </c>
      <c r="B75" s="4">
        <f>O59</f>
        <v>2.9999999999997584E-2</v>
      </c>
      <c r="C75" s="11" t="s">
        <v>5</v>
      </c>
      <c r="D75" s="12">
        <v>2.348650054664823</v>
      </c>
    </row>
  </sheetData>
  <autoFilter ref="C62:D75" xr:uid="{9FF19F78-7213-4CBD-BFF3-CF4334897E4E}">
    <sortState xmlns:xlrd2="http://schemas.microsoft.com/office/spreadsheetml/2017/richdata2" ref="C63:D75">
      <sortCondition ref="D62:D75"/>
    </sortState>
  </autoFilter>
  <pageMargins left="0.7" right="0.7" top="0.75" bottom="0.75" header="0.3" footer="0.3"/>
  <pageSetup orientation="portrait" r:id="rId1"/>
  <ignoredErrors>
    <ignoredError sqref="E22 E27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91A27-D997-4FA1-A41C-29180482F3F7}">
  <sheetPr codeName="Sheet3"/>
  <dimension ref="A1:AM201"/>
  <sheetViews>
    <sheetView showGridLines="0" tabSelected="1" zoomScale="85" zoomScaleNormal="85" workbookViewId="0">
      <selection activeCell="K9" sqref="K9"/>
    </sheetView>
  </sheetViews>
  <sheetFormatPr defaultRowHeight="14.4" x14ac:dyDescent="0.3"/>
  <cols>
    <col min="16" max="16" width="9.109375" customWidth="1"/>
  </cols>
  <sheetData>
    <row r="1" spans="1:39" ht="15" thickBot="1" x14ac:dyDescent="0.35">
      <c r="B1" s="2" t="s">
        <v>5</v>
      </c>
      <c r="C1" s="2" t="s">
        <v>9</v>
      </c>
      <c r="D1" s="2" t="s">
        <v>10</v>
      </c>
      <c r="E1" s="1" t="s">
        <v>13</v>
      </c>
      <c r="F1" s="1" t="s">
        <v>15</v>
      </c>
      <c r="G1" s="2" t="s">
        <v>22</v>
      </c>
      <c r="H1" s="2" t="s">
        <v>23</v>
      </c>
      <c r="I1" s="2" t="s">
        <v>24</v>
      </c>
      <c r="J1" s="1" t="s">
        <v>25</v>
      </c>
      <c r="K1" s="1" t="s">
        <v>26</v>
      </c>
      <c r="L1" s="2" t="s">
        <v>27</v>
      </c>
      <c r="M1" s="2" t="s">
        <v>29</v>
      </c>
      <c r="N1" s="2" t="s">
        <v>32</v>
      </c>
      <c r="P1" s="2" t="s">
        <v>40</v>
      </c>
      <c r="Q1" s="2" t="s">
        <v>41</v>
      </c>
      <c r="R1" s="2" t="s">
        <v>1</v>
      </c>
      <c r="T1" t="s">
        <v>51</v>
      </c>
      <c r="U1" t="s">
        <v>5</v>
      </c>
      <c r="V1" t="s">
        <v>9</v>
      </c>
      <c r="W1" t="s">
        <v>10</v>
      </c>
      <c r="X1" t="s">
        <v>13</v>
      </c>
      <c r="Y1" t="s">
        <v>15</v>
      </c>
      <c r="Z1" t="s">
        <v>22</v>
      </c>
      <c r="AA1" t="s">
        <v>23</v>
      </c>
      <c r="AB1" t="s">
        <v>24</v>
      </c>
      <c r="AC1" t="s">
        <v>25</v>
      </c>
      <c r="AD1" t="s">
        <v>26</v>
      </c>
      <c r="AE1" t="s">
        <v>27</v>
      </c>
      <c r="AF1" t="s">
        <v>29</v>
      </c>
      <c r="AG1" t="s">
        <v>32</v>
      </c>
      <c r="AI1" t="s">
        <v>40</v>
      </c>
      <c r="AJ1" t="s">
        <v>41</v>
      </c>
      <c r="AK1" t="s">
        <v>1</v>
      </c>
      <c r="AM1" t="s">
        <v>52</v>
      </c>
    </row>
    <row r="2" spans="1:39" ht="15" thickBot="1" x14ac:dyDescent="0.35">
      <c r="A2" t="s">
        <v>47</v>
      </c>
      <c r="B2" s="14">
        <v>20000</v>
      </c>
      <c r="C2" s="14">
        <v>8.0923999999999996</v>
      </c>
      <c r="D2" s="14">
        <v>1051.3</v>
      </c>
      <c r="E2" s="14">
        <v>1.1111111111111112</v>
      </c>
      <c r="F2" s="14">
        <v>1.1111111111111112</v>
      </c>
      <c r="G2" s="14">
        <v>14000</v>
      </c>
      <c r="H2" s="14">
        <v>1814.5</v>
      </c>
      <c r="I2" s="14">
        <v>1167</v>
      </c>
      <c r="J2" s="14">
        <v>1.1111111111111112</v>
      </c>
      <c r="K2" s="14">
        <v>1.1111111111111112</v>
      </c>
      <c r="L2" s="14">
        <v>2</v>
      </c>
      <c r="M2" s="14">
        <v>0.1</v>
      </c>
      <c r="N2" s="14">
        <v>0.3</v>
      </c>
      <c r="P2" s="6">
        <f>(B2-C2)/D2*E2*F2*L2-M2</f>
        <v>46.853994877594232</v>
      </c>
      <c r="Q2" s="6">
        <f>(G2-H2)/I2*J2*K2*L2-N2</f>
        <v>25.482051688935435</v>
      </c>
      <c r="R2" s="15">
        <f>P2-Q2</f>
        <v>21.371943188658797</v>
      </c>
      <c r="T2">
        <v>1</v>
      </c>
      <c r="U2">
        <v>18507.328473761107</v>
      </c>
      <c r="V2">
        <v>9.40179067387038</v>
      </c>
      <c r="W2">
        <v>1010.6698617253402</v>
      </c>
      <c r="X2">
        <v>1.1336467980296832</v>
      </c>
      <c r="Y2">
        <v>1.0755234713337893</v>
      </c>
      <c r="Z2">
        <v>13623.035314860716</v>
      </c>
      <c r="AA2">
        <v>2169.0528128614665</v>
      </c>
      <c r="AB2">
        <v>1249.2777747881601</v>
      </c>
      <c r="AC2">
        <v>1.1267194582983944</v>
      </c>
      <c r="AD2">
        <v>1.0735288528740847</v>
      </c>
      <c r="AE2">
        <v>1.9961699839828222</v>
      </c>
      <c r="AF2">
        <v>9.5471195604437273E-2</v>
      </c>
      <c r="AG2">
        <v>0.29872046506706151</v>
      </c>
      <c r="AI2">
        <v>46.544322526719178</v>
      </c>
      <c r="AJ2">
        <v>24.399471781853997</v>
      </c>
      <c r="AK2">
        <v>14.516803697572524</v>
      </c>
      <c r="AM2" t="e">
        <v>#DIV/0!</v>
      </c>
    </row>
    <row r="3" spans="1:39" ht="15" thickBot="1" x14ac:dyDescent="0.35">
      <c r="A3" t="s">
        <v>46</v>
      </c>
      <c r="B3" s="14">
        <v>1000</v>
      </c>
      <c r="C3" s="14">
        <v>0.80923999999999996</v>
      </c>
      <c r="D3" s="14">
        <v>52.564999999999998</v>
      </c>
      <c r="E3" s="14">
        <v>2.2222222222222199E-2</v>
      </c>
      <c r="F3" s="14">
        <v>5.5555555555555601E-2</v>
      </c>
      <c r="G3" s="14">
        <v>700</v>
      </c>
      <c r="H3" s="14">
        <v>181.45000000000002</v>
      </c>
      <c r="I3" s="14">
        <v>116.7</v>
      </c>
      <c r="J3" s="14">
        <v>2.2222222222222199E-2</v>
      </c>
      <c r="K3" s="14">
        <v>5.5555555555555601E-2</v>
      </c>
      <c r="L3" s="14">
        <v>0.01</v>
      </c>
      <c r="M3" s="14">
        <v>1.0000000000000002E-2</v>
      </c>
      <c r="N3" s="14">
        <v>0.03</v>
      </c>
      <c r="P3" s="6">
        <f>_xlfn.STDEV.S(AI:AI)</f>
        <v>4.2645885268875929</v>
      </c>
      <c r="Q3" s="6">
        <f t="shared" ref="P3:Q3" si="0">_xlfn.STDEV.S(AJ:AJ)</f>
        <v>3.529872632372538</v>
      </c>
      <c r="R3" s="16">
        <f>_xlfn.STDEV.S(AK:AK)</f>
        <v>6.0073449782935331</v>
      </c>
      <c r="T3">
        <v>2</v>
      </c>
      <c r="U3">
        <v>20056.42076449958</v>
      </c>
      <c r="V3">
        <v>7.8387478594158928</v>
      </c>
      <c r="W3">
        <v>1151.8419024443822</v>
      </c>
      <c r="X3">
        <v>1.1104628809831338</v>
      </c>
      <c r="Y3">
        <v>1.09676779593573</v>
      </c>
      <c r="Z3">
        <v>14154.422540042156</v>
      </c>
      <c r="AA3">
        <v>1924.5769900020073</v>
      </c>
      <c r="AB3">
        <v>1361.8137415897504</v>
      </c>
      <c r="AC3">
        <v>1.1210969216428681</v>
      </c>
      <c r="AD3">
        <v>1.2110172766774827</v>
      </c>
      <c r="AE3">
        <v>2.0030779871429312</v>
      </c>
      <c r="AF3">
        <v>0.1041792808651688</v>
      </c>
      <c r="AG3">
        <v>0.31692564101025411</v>
      </c>
      <c r="AI3">
        <v>43.606033707178433</v>
      </c>
      <c r="AJ3">
        <v>32.22547535197635</v>
      </c>
      <c r="AK3">
        <v>16.694701424007555</v>
      </c>
      <c r="AM3">
        <v>1.5400062510929746</v>
      </c>
    </row>
    <row r="4" spans="1:39" x14ac:dyDescent="0.3">
      <c r="A4" t="s">
        <v>48</v>
      </c>
      <c r="B4" t="s">
        <v>49</v>
      </c>
      <c r="C4" t="s">
        <v>49</v>
      </c>
      <c r="D4" t="s">
        <v>49</v>
      </c>
      <c r="E4" t="s">
        <v>49</v>
      </c>
      <c r="F4" t="s">
        <v>49</v>
      </c>
      <c r="G4" t="s">
        <v>49</v>
      </c>
      <c r="H4" t="s">
        <v>49</v>
      </c>
      <c r="I4" t="s">
        <v>49</v>
      </c>
      <c r="J4" t="s">
        <v>49</v>
      </c>
      <c r="K4" t="s">
        <v>49</v>
      </c>
      <c r="L4" t="s">
        <v>49</v>
      </c>
      <c r="M4" t="s">
        <v>49</v>
      </c>
      <c r="N4" t="s">
        <v>49</v>
      </c>
      <c r="T4">
        <v>3</v>
      </c>
      <c r="U4">
        <v>19130.900943344186</v>
      </c>
      <c r="V4">
        <v>7.8856222714209387</v>
      </c>
      <c r="W4">
        <v>1024.2502879463671</v>
      </c>
      <c r="X4">
        <v>1.1284824294777214</v>
      </c>
      <c r="Y4">
        <v>1.1710809498485795</v>
      </c>
      <c r="Z4">
        <v>14262.954904887525</v>
      </c>
      <c r="AA4">
        <v>1591.7163859352731</v>
      </c>
      <c r="AB4">
        <v>1126.0660763861379</v>
      </c>
      <c r="AC4">
        <v>1.0991960538637524</v>
      </c>
      <c r="AD4">
        <v>1.0968135739736482</v>
      </c>
      <c r="AE4">
        <v>1.9995926876213588</v>
      </c>
      <c r="AF4">
        <v>0.11768805802704274</v>
      </c>
      <c r="AG4">
        <v>0.30637943893223013</v>
      </c>
      <c r="AI4">
        <v>51.574771726508317</v>
      </c>
      <c r="AJ4">
        <v>23.331558045325767</v>
      </c>
      <c r="AK4">
        <v>27.420640535864546</v>
      </c>
      <c r="AM4">
        <v>6.9077011792073542</v>
      </c>
    </row>
    <row r="5" spans="1:39" x14ac:dyDescent="0.3">
      <c r="T5">
        <v>4</v>
      </c>
      <c r="U5">
        <v>22241.370519336218</v>
      </c>
      <c r="V5">
        <v>8.79680416109397</v>
      </c>
      <c r="W5">
        <v>952.63169168421996</v>
      </c>
      <c r="X5">
        <v>1.1210148071260517</v>
      </c>
      <c r="Y5">
        <v>1.0938140867443213</v>
      </c>
      <c r="Z5">
        <v>13570.627070681743</v>
      </c>
      <c r="AA5">
        <v>1550.2621330172315</v>
      </c>
      <c r="AB5">
        <v>1440.3565889131755</v>
      </c>
      <c r="AC5">
        <v>1.0854473460916745</v>
      </c>
      <c r="AD5">
        <v>1.1268258388954657</v>
      </c>
      <c r="AE5">
        <v>1.9939654037942276</v>
      </c>
      <c r="AF5">
        <v>0.10793090047489284</v>
      </c>
      <c r="AG5">
        <v>0.2776094824069032</v>
      </c>
      <c r="AI5">
        <v>48.937846261657313</v>
      </c>
      <c r="AJ5">
        <v>26.110605436298886</v>
      </c>
      <c r="AK5">
        <v>14.691153593008643</v>
      </c>
      <c r="AM5">
        <v>6.1399134977132404</v>
      </c>
    </row>
    <row r="6" spans="1:39" x14ac:dyDescent="0.3">
      <c r="T6">
        <v>5</v>
      </c>
      <c r="U6">
        <v>19262.549281259908</v>
      </c>
      <c r="V6">
        <v>8.3352139861864636</v>
      </c>
      <c r="W6">
        <v>1104.3713516429348</v>
      </c>
      <c r="X6">
        <v>1.1202652955267349</v>
      </c>
      <c r="Y6">
        <v>1.1546516005052467</v>
      </c>
      <c r="Z6">
        <v>13533.158659785411</v>
      </c>
      <c r="AA6">
        <v>1859.0954687807368</v>
      </c>
      <c r="AB6">
        <v>1171.0436072050172</v>
      </c>
      <c r="AC6">
        <v>1.1216094938863868</v>
      </c>
      <c r="AD6">
        <v>1.1687148584012947</v>
      </c>
      <c r="AE6">
        <v>1.9928723211950463</v>
      </c>
      <c r="AF6">
        <v>0.1116043208631089</v>
      </c>
      <c r="AG6">
        <v>0.28970898963026104</v>
      </c>
      <c r="AI6">
        <v>42.63564944042799</v>
      </c>
      <c r="AJ6">
        <v>28.069431087438559</v>
      </c>
      <c r="AK6">
        <v>21.897945711669966</v>
      </c>
      <c r="AM6">
        <v>5.5514658984135243</v>
      </c>
    </row>
    <row r="7" spans="1:39" x14ac:dyDescent="0.3">
      <c r="A7" t="s">
        <v>50</v>
      </c>
      <c r="B7">
        <f ca="1">_xlfn.NORM.INV(RAND(),B2,B3)</f>
        <v>21107.183680400547</v>
      </c>
      <c r="C7">
        <f t="shared" ref="C7:N7" ca="1" si="1">_xlfn.NORM.INV(RAND(),C2,C3)</f>
        <v>8.4118096780330127</v>
      </c>
      <c r="D7">
        <f t="shared" ca="1" si="1"/>
        <v>1127.2832147166837</v>
      </c>
      <c r="E7">
        <f t="shared" ca="1" si="1"/>
        <v>1.134998555157366</v>
      </c>
      <c r="F7">
        <f t="shared" ca="1" si="1"/>
        <v>1.1402432259804041</v>
      </c>
      <c r="G7">
        <f ca="1">_xlfn.NORM.INV(RAND(),G2,G3)</f>
        <v>14079.456015827845</v>
      </c>
      <c r="H7">
        <f t="shared" ca="1" si="1"/>
        <v>1977.3995714558268</v>
      </c>
      <c r="I7">
        <f t="shared" ca="1" si="1"/>
        <v>1210.0738061204715</v>
      </c>
      <c r="J7">
        <f t="shared" ca="1" si="1"/>
        <v>1.0891968160038319</v>
      </c>
      <c r="K7">
        <f t="shared" ca="1" si="1"/>
        <v>1.1580589700452069</v>
      </c>
      <c r="L7">
        <f t="shared" ca="1" si="1"/>
        <v>1.9978663608925757</v>
      </c>
      <c r="M7">
        <f t="shared" ca="1" si="1"/>
        <v>0.1105187204990927</v>
      </c>
      <c r="N7">
        <f t="shared" ca="1" si="1"/>
        <v>0.2780154163014622</v>
      </c>
      <c r="P7" s="6">
        <f ca="1">(B7-C7)/D7*E7*F7*L7+M7</f>
        <v>48.503611662405461</v>
      </c>
      <c r="Q7" s="6">
        <f ca="1">(G7-H7)/I7*J7*K7*L7+N7</f>
        <v>25.48093110406834</v>
      </c>
      <c r="R7" s="6">
        <f ca="1">P7-Q7</f>
        <v>23.022680558337122</v>
      </c>
      <c r="T7">
        <v>6</v>
      </c>
      <c r="U7">
        <v>18816.325009310745</v>
      </c>
      <c r="V7">
        <v>7.6359628302108771</v>
      </c>
      <c r="W7">
        <v>1093.4011186803084</v>
      </c>
      <c r="X7">
        <v>1.102687699329433</v>
      </c>
      <c r="Y7">
        <v>1.1658119914923213</v>
      </c>
      <c r="Z7">
        <v>14363.392289278061</v>
      </c>
      <c r="AA7">
        <v>1662.6166960771013</v>
      </c>
      <c r="AB7">
        <v>1231.1198831422369</v>
      </c>
      <c r="AC7">
        <v>1.1488432355939191</v>
      </c>
      <c r="AD7">
        <v>1.1475506601237309</v>
      </c>
      <c r="AE7">
        <v>1.9921193371484007</v>
      </c>
      <c r="AF7">
        <v>0.10043991608701185</v>
      </c>
      <c r="AG7">
        <v>0.30829342159054662</v>
      </c>
      <c r="AI7">
        <v>45.114455524003645</v>
      </c>
      <c r="AJ7">
        <v>25.97902187155146</v>
      </c>
      <c r="AK7">
        <v>21.522808191350006</v>
      </c>
      <c r="AM7">
        <v>5.0674347403225806</v>
      </c>
    </row>
    <row r="8" spans="1:39" x14ac:dyDescent="0.3">
      <c r="T8">
        <v>7</v>
      </c>
      <c r="U8">
        <v>18467.210168960035</v>
      </c>
      <c r="V8">
        <v>9.531574594789765</v>
      </c>
      <c r="W8">
        <v>1063.8805405791152</v>
      </c>
      <c r="X8">
        <v>1.1243211902647812</v>
      </c>
      <c r="Y8">
        <v>1.0902789626474119</v>
      </c>
      <c r="Z8">
        <v>14288.131561300412</v>
      </c>
      <c r="AA8">
        <v>1625.7954091589281</v>
      </c>
      <c r="AB8">
        <v>1039.5530126617789</v>
      </c>
      <c r="AC8">
        <v>1.1436746142175076</v>
      </c>
      <c r="AD8">
        <v>1.0877485656997499</v>
      </c>
      <c r="AE8">
        <v>2.0078157091773394</v>
      </c>
      <c r="AF8">
        <v>0.12007916523578532</v>
      </c>
      <c r="AG8">
        <v>0.29763628868169845</v>
      </c>
      <c r="AI8">
        <v>42.950746872014243</v>
      </c>
      <c r="AJ8">
        <v>28.891939681476629</v>
      </c>
      <c r="AK8">
        <v>29.225488263121132</v>
      </c>
      <c r="AM8">
        <v>5.9186174898562651</v>
      </c>
    </row>
    <row r="9" spans="1:39" x14ac:dyDescent="0.3">
      <c r="T9">
        <v>8</v>
      </c>
      <c r="U9">
        <v>20668.473469196178</v>
      </c>
      <c r="V9">
        <v>8.8457061090529425</v>
      </c>
      <c r="W9">
        <v>1069.4618514726185</v>
      </c>
      <c r="X9">
        <v>1.1042479802972089</v>
      </c>
      <c r="Y9">
        <v>1.0678872694050774</v>
      </c>
      <c r="Z9">
        <v>14281.270635889325</v>
      </c>
      <c r="AA9">
        <v>1745.6136817106772</v>
      </c>
      <c r="AB9">
        <v>919.65207014120995</v>
      </c>
      <c r="AC9">
        <v>1.0993479613545134</v>
      </c>
      <c r="AD9">
        <v>1.1203457547375597</v>
      </c>
      <c r="AE9">
        <v>2.0125706571805675</v>
      </c>
      <c r="AF9">
        <v>9.9527377485009588E-2</v>
      </c>
      <c r="AG9">
        <v>0.30023805392384695</v>
      </c>
      <c r="AI9">
        <v>46.683748032299661</v>
      </c>
      <c r="AJ9">
        <v>27.958811218192732</v>
      </c>
      <c r="AK9">
        <v>16.027780422973027</v>
      </c>
      <c r="AM9">
        <v>5.7389750137582896</v>
      </c>
    </row>
    <row r="10" spans="1:39" x14ac:dyDescent="0.3">
      <c r="T10">
        <v>9</v>
      </c>
      <c r="U10">
        <v>19859.484140946905</v>
      </c>
      <c r="V10">
        <v>9.0216857233785621</v>
      </c>
      <c r="W10">
        <v>1052.0045728105192</v>
      </c>
      <c r="X10">
        <v>1.1315515124779048</v>
      </c>
      <c r="Y10">
        <v>1.133604946366839</v>
      </c>
      <c r="Z10">
        <v>13766.637400089534</v>
      </c>
      <c r="AA10">
        <v>1578.7292417587003</v>
      </c>
      <c r="AB10">
        <v>994.87139107686346</v>
      </c>
      <c r="AC10">
        <v>1.1150074615024264</v>
      </c>
      <c r="AD10">
        <v>1.0848495637614546</v>
      </c>
      <c r="AE10">
        <v>2.0021593295774447</v>
      </c>
      <c r="AF10">
        <v>9.364322528699702E-2</v>
      </c>
      <c r="AG10">
        <v>0.31686983119786361</v>
      </c>
      <c r="AI10">
        <v>45.399381512679462</v>
      </c>
      <c r="AJ10">
        <v>25.970579556475592</v>
      </c>
      <c r="AK10">
        <v>20.794495882807507</v>
      </c>
      <c r="AM10">
        <v>5.3713906210234237</v>
      </c>
    </row>
    <row r="11" spans="1:39" x14ac:dyDescent="0.3">
      <c r="T11">
        <v>10</v>
      </c>
      <c r="U11">
        <v>20269.262212200098</v>
      </c>
      <c r="V11">
        <v>7.9495337076202928</v>
      </c>
      <c r="W11">
        <v>1075.283017437341</v>
      </c>
      <c r="X11">
        <v>1.1030978445821709</v>
      </c>
      <c r="Y11">
        <v>1.1364033071042343</v>
      </c>
      <c r="Z11">
        <v>14139.011853607155</v>
      </c>
      <c r="AA11">
        <v>1741.9798588129208</v>
      </c>
      <c r="AB11">
        <v>1093.4860734336244</v>
      </c>
      <c r="AC11">
        <v>1.0936542539985401</v>
      </c>
      <c r="AD11">
        <v>1.1771864104455514</v>
      </c>
      <c r="AE11">
        <v>1.9960924066227701</v>
      </c>
      <c r="AF11">
        <v>9.1222587980329228E-2</v>
      </c>
      <c r="AG11">
        <v>0.29666428721551985</v>
      </c>
      <c r="AI11">
        <v>55.432048299076833</v>
      </c>
      <c r="AJ11">
        <v>27.823920285211635</v>
      </c>
      <c r="AK11">
        <v>17.523284652168897</v>
      </c>
      <c r="AM11">
        <v>5.1403081938243727</v>
      </c>
    </row>
    <row r="12" spans="1:39" x14ac:dyDescent="0.3">
      <c r="T12">
        <v>11</v>
      </c>
      <c r="U12">
        <v>19767.496302511383</v>
      </c>
      <c r="V12">
        <v>7.3952234089246032</v>
      </c>
      <c r="W12">
        <v>1023.1172499365731</v>
      </c>
      <c r="X12">
        <v>1.1013730376305526</v>
      </c>
      <c r="Y12">
        <v>1.1238694313720854</v>
      </c>
      <c r="Z12">
        <v>14742.183374639095</v>
      </c>
      <c r="AA12">
        <v>1921.9014231931581</v>
      </c>
      <c r="AB12">
        <v>870.16619896951079</v>
      </c>
      <c r="AC12">
        <v>1.1218226969260736</v>
      </c>
      <c r="AD12">
        <v>1.1190089084225581</v>
      </c>
      <c r="AE12">
        <v>1.9954705496674896</v>
      </c>
      <c r="AF12">
        <v>0.1043694301236591</v>
      </c>
      <c r="AG12">
        <v>0.29863617371269496</v>
      </c>
      <c r="AI12">
        <v>45.510188611224279</v>
      </c>
      <c r="AJ12">
        <v>23.581721107254207</v>
      </c>
      <c r="AK12">
        <v>29.289651711347489</v>
      </c>
      <c r="AM12">
        <v>5.618949998910753</v>
      </c>
    </row>
    <row r="13" spans="1:39" x14ac:dyDescent="0.3">
      <c r="T13">
        <v>12</v>
      </c>
      <c r="U13">
        <v>20251.507830569888</v>
      </c>
      <c r="V13">
        <v>10.085639120587285</v>
      </c>
      <c r="W13">
        <v>975.99865973110275</v>
      </c>
      <c r="X13">
        <v>1.0635961816900275</v>
      </c>
      <c r="Y13">
        <v>1.098619876093448</v>
      </c>
      <c r="Z13">
        <v>14001.023634738647</v>
      </c>
      <c r="AA13">
        <v>1849.7527920200178</v>
      </c>
      <c r="AB13">
        <v>1107.1831543998996</v>
      </c>
      <c r="AC13">
        <v>1.0992849881444275</v>
      </c>
      <c r="AD13">
        <v>1.0225281700137303</v>
      </c>
      <c r="AE13">
        <v>1.9998147916914903</v>
      </c>
      <c r="AF13">
        <v>0.11255783017907171</v>
      </c>
      <c r="AG13">
        <v>0.25469474339935216</v>
      </c>
      <c r="AI13">
        <v>41.927384451834563</v>
      </c>
      <c r="AJ13">
        <v>27.709369579137828</v>
      </c>
      <c r="AK13">
        <v>8.453655094029628</v>
      </c>
      <c r="AM13">
        <v>6.4463972009354391</v>
      </c>
    </row>
    <row r="14" spans="1:39" x14ac:dyDescent="0.3">
      <c r="T14">
        <v>13</v>
      </c>
      <c r="U14">
        <v>20287.393221602346</v>
      </c>
      <c r="V14">
        <v>8.1262690637728294</v>
      </c>
      <c r="W14">
        <v>1125.6161871527293</v>
      </c>
      <c r="X14">
        <v>1.1086928048805813</v>
      </c>
      <c r="Y14">
        <v>1.1975354781511198</v>
      </c>
      <c r="Z14">
        <v>14478.631421961316</v>
      </c>
      <c r="AA14">
        <v>2007.026341047603</v>
      </c>
      <c r="AB14">
        <v>1320.2115453304154</v>
      </c>
      <c r="AC14">
        <v>1.0803121852825834</v>
      </c>
      <c r="AD14">
        <v>1.1865302262572213</v>
      </c>
      <c r="AE14">
        <v>2.0052865920277769</v>
      </c>
      <c r="AF14">
        <v>9.6925254746456302E-2</v>
      </c>
      <c r="AG14">
        <v>0.29929303333842727</v>
      </c>
      <c r="AI14">
        <v>39.865747714871119</v>
      </c>
      <c r="AJ14">
        <v>28.622316656986772</v>
      </c>
      <c r="AK14">
        <v>20.567799884654015</v>
      </c>
      <c r="AM14">
        <v>6.1752717428183699</v>
      </c>
    </row>
    <row r="15" spans="1:39" x14ac:dyDescent="0.3">
      <c r="T15">
        <v>14</v>
      </c>
      <c r="U15">
        <v>20844.819220181504</v>
      </c>
      <c r="V15">
        <v>7.221080282039031</v>
      </c>
      <c r="W15">
        <v>930.1924237532329</v>
      </c>
      <c r="X15">
        <v>1.1120583477236969</v>
      </c>
      <c r="Y15">
        <v>1.0956905741490754</v>
      </c>
      <c r="Z15">
        <v>14263.556000414657</v>
      </c>
      <c r="AA15">
        <v>1668.1476152588432</v>
      </c>
      <c r="AB15">
        <v>1094.6967408423618</v>
      </c>
      <c r="AC15">
        <v>1.1275640824391011</v>
      </c>
      <c r="AD15">
        <v>1.0354743652474099</v>
      </c>
      <c r="AE15">
        <v>2.0021386076649139</v>
      </c>
      <c r="AF15">
        <v>7.8649381734193002E-2</v>
      </c>
      <c r="AG15">
        <v>0.3445287345096692</v>
      </c>
      <c r="AI15">
        <v>50.100997840910146</v>
      </c>
      <c r="AJ15">
        <v>23.774161398170818</v>
      </c>
      <c r="AK15">
        <v>17.75958547952181</v>
      </c>
      <c r="AM15">
        <v>5.9603779763586866</v>
      </c>
    </row>
    <row r="16" spans="1:39" x14ac:dyDescent="0.3">
      <c r="T16">
        <v>15</v>
      </c>
      <c r="U16">
        <v>21524.750595259597</v>
      </c>
      <c r="V16">
        <v>7.499458355523636</v>
      </c>
      <c r="W16">
        <v>1064.5195639627027</v>
      </c>
      <c r="X16">
        <v>1.1020375229644463</v>
      </c>
      <c r="Y16">
        <v>1.0164623690832586</v>
      </c>
      <c r="Z16">
        <v>14459.601624193769</v>
      </c>
      <c r="AA16">
        <v>1775.5379339438634</v>
      </c>
      <c r="AB16">
        <v>1219.065944969926</v>
      </c>
      <c r="AC16">
        <v>1.10462208367038</v>
      </c>
      <c r="AD16">
        <v>0.95935058302608245</v>
      </c>
      <c r="AE16">
        <v>2.0132350334420681</v>
      </c>
      <c r="AF16">
        <v>0.10481248130226441</v>
      </c>
      <c r="AG16">
        <v>0.31403466062343738</v>
      </c>
      <c r="AI16">
        <v>51.407426162180045</v>
      </c>
      <c r="AJ16">
        <v>28.603006866993859</v>
      </c>
      <c r="AK16">
        <v>17.530876974194374</v>
      </c>
      <c r="AM16">
        <v>5.7718643327451451</v>
      </c>
    </row>
    <row r="17" spans="20:39" x14ac:dyDescent="0.3">
      <c r="T17">
        <v>16</v>
      </c>
      <c r="U17">
        <v>17668.261244177422</v>
      </c>
      <c r="V17">
        <v>8.3204807923733064</v>
      </c>
      <c r="W17">
        <v>927.69048886621658</v>
      </c>
      <c r="X17">
        <v>1.0746280544309816</v>
      </c>
      <c r="Y17">
        <v>1.1281377651311775</v>
      </c>
      <c r="Z17">
        <v>12451.804391650903</v>
      </c>
      <c r="AA17">
        <v>1826.8143427464902</v>
      </c>
      <c r="AB17">
        <v>1174.0827933438932</v>
      </c>
      <c r="AC17">
        <v>1.0678186992053293</v>
      </c>
      <c r="AD17">
        <v>1.1281130088419691</v>
      </c>
      <c r="AE17">
        <v>2.0064130828125286</v>
      </c>
      <c r="AF17">
        <v>9.2888029856362242E-2</v>
      </c>
      <c r="AG17">
        <v>0.27596754283908792</v>
      </c>
      <c r="AI17">
        <v>48.986851808938383</v>
      </c>
      <c r="AJ17">
        <v>24.846215740692593</v>
      </c>
      <c r="AK17">
        <v>12.380880416827836</v>
      </c>
      <c r="AM17">
        <v>5.8605184155786505</v>
      </c>
    </row>
    <row r="18" spans="20:39" x14ac:dyDescent="0.3">
      <c r="T18">
        <v>17</v>
      </c>
      <c r="U18">
        <v>21745.677729691772</v>
      </c>
      <c r="V18">
        <v>7.8710465200674049</v>
      </c>
      <c r="W18">
        <v>997.83333117891948</v>
      </c>
      <c r="X18">
        <v>1.1442733000382574</v>
      </c>
      <c r="Y18">
        <v>1.168588006666968</v>
      </c>
      <c r="Z18">
        <v>15549.482106472316</v>
      </c>
      <c r="AA18">
        <v>1730.6199227899483</v>
      </c>
      <c r="AB18">
        <v>971.16631319115038</v>
      </c>
      <c r="AC18">
        <v>1.1074687299417385</v>
      </c>
      <c r="AD18">
        <v>1.1776274817771792</v>
      </c>
      <c r="AE18">
        <v>2.0127435044353792</v>
      </c>
      <c r="AF18">
        <v>9.5013209591912118E-2</v>
      </c>
      <c r="AG18">
        <v>0.30950543359741567</v>
      </c>
      <c r="AI18">
        <v>42.324507605623083</v>
      </c>
      <c r="AJ18">
        <v>24.496962992612097</v>
      </c>
      <c r="AK18">
        <v>27.467469952369267</v>
      </c>
      <c r="AM18">
        <v>6.0228538956792077</v>
      </c>
    </row>
    <row r="19" spans="20:39" x14ac:dyDescent="0.3">
      <c r="T19">
        <v>18</v>
      </c>
      <c r="U19">
        <v>19684.966794891741</v>
      </c>
      <c r="V19">
        <v>8.6837979638354987</v>
      </c>
      <c r="W19">
        <v>1130.9081179087623</v>
      </c>
      <c r="X19">
        <v>1.0660707448752262</v>
      </c>
      <c r="Y19">
        <v>1.1221369376365278</v>
      </c>
      <c r="Z19">
        <v>13947.724041220119</v>
      </c>
      <c r="AA19">
        <v>1877.4800914180098</v>
      </c>
      <c r="AB19">
        <v>1188.7831496788842</v>
      </c>
      <c r="AC19">
        <v>1.0992765773452571</v>
      </c>
      <c r="AD19">
        <v>1.1037579451268884</v>
      </c>
      <c r="AE19">
        <v>1.9824653083264661</v>
      </c>
      <c r="AF19">
        <v>9.3829535821700269E-2</v>
      </c>
      <c r="AG19">
        <v>0.31227623501676838</v>
      </c>
      <c r="AI19">
        <v>45.13703421415947</v>
      </c>
      <c r="AJ19">
        <v>24.200157141793547</v>
      </c>
      <c r="AK19">
        <v>14.327827726508943</v>
      </c>
      <c r="AM19">
        <v>5.9753411199867781</v>
      </c>
    </row>
    <row r="20" spans="20:39" x14ac:dyDescent="0.3">
      <c r="T20">
        <v>19</v>
      </c>
      <c r="U20">
        <v>19540.673187971461</v>
      </c>
      <c r="V20">
        <v>10.076999392775058</v>
      </c>
      <c r="W20">
        <v>944.84322465667879</v>
      </c>
      <c r="X20">
        <v>1.1259642639822278</v>
      </c>
      <c r="Y20">
        <v>1.1075946134170584</v>
      </c>
      <c r="Z20">
        <v>12417.891781119901</v>
      </c>
      <c r="AA20">
        <v>2003.3757567164882</v>
      </c>
      <c r="AB20">
        <v>1162.4126438519686</v>
      </c>
      <c r="AC20">
        <v>1.153502907296122</v>
      </c>
      <c r="AD20">
        <v>1.1114134210433109</v>
      </c>
      <c r="AE20">
        <v>2.0096831032619615</v>
      </c>
      <c r="AF20">
        <v>0.10764047776115293</v>
      </c>
      <c r="AG20">
        <v>0.39908562509736867</v>
      </c>
      <c r="AI20">
        <v>47.021237388060996</v>
      </c>
      <c r="AJ20">
        <v>26.926706395402398</v>
      </c>
      <c r="AK20">
        <v>23.826552017595482</v>
      </c>
      <c r="AM20">
        <v>5.8975629149584323</v>
      </c>
    </row>
    <row r="21" spans="20:39" x14ac:dyDescent="0.3">
      <c r="T21">
        <v>20</v>
      </c>
      <c r="U21">
        <v>21156.937337009422</v>
      </c>
      <c r="V21">
        <v>8.2918313259225656</v>
      </c>
      <c r="W21">
        <v>1028.7801254057058</v>
      </c>
      <c r="X21">
        <v>1.1182358055522605</v>
      </c>
      <c r="Y21">
        <v>1.0874682253148524</v>
      </c>
      <c r="Z21">
        <v>13615.608213714526</v>
      </c>
      <c r="AA21">
        <v>1918.6415758804615</v>
      </c>
      <c r="AB21">
        <v>1239.308937877116</v>
      </c>
      <c r="AC21">
        <v>1.1312128722945189</v>
      </c>
      <c r="AD21">
        <v>1.1075851172096312</v>
      </c>
      <c r="AE21">
        <v>1.9987729544352868</v>
      </c>
      <c r="AF21">
        <v>9.0266826226877234E-2</v>
      </c>
      <c r="AG21">
        <v>0.34106364622000185</v>
      </c>
      <c r="AI21">
        <v>45.674184804859728</v>
      </c>
      <c r="AJ21">
        <v>31.324663488539006</v>
      </c>
      <c r="AK21">
        <v>28.285683263467572</v>
      </c>
      <c r="AM21">
        <v>6.0617417570781118</v>
      </c>
    </row>
    <row r="22" spans="20:39" x14ac:dyDescent="0.3">
      <c r="T22">
        <v>21</v>
      </c>
      <c r="U22">
        <v>19920.912217802022</v>
      </c>
      <c r="V22">
        <v>9.3189705518886914</v>
      </c>
      <c r="W22">
        <v>1138.8348674023148</v>
      </c>
      <c r="X22">
        <v>1.0817089416203944</v>
      </c>
      <c r="Y22">
        <v>1.0869043702995163</v>
      </c>
      <c r="Z22">
        <v>14295.550301847104</v>
      </c>
      <c r="AA22">
        <v>1574.1532530341171</v>
      </c>
      <c r="AB22">
        <v>1394.683071250384</v>
      </c>
      <c r="AC22">
        <v>1.1323169886188795</v>
      </c>
      <c r="AD22">
        <v>1.1460584857722844</v>
      </c>
      <c r="AE22">
        <v>1.9882430190424978</v>
      </c>
      <c r="AF22">
        <v>9.088432254888533E-2</v>
      </c>
      <c r="AG22">
        <v>0.35657616899246308</v>
      </c>
      <c r="AI22">
        <v>45.597063735632084</v>
      </c>
      <c r="AJ22">
        <v>23.870851939821048</v>
      </c>
      <c r="AK22">
        <v>22.815750398641839</v>
      </c>
      <c r="AM22">
        <v>5.9398887098885806</v>
      </c>
    </row>
    <row r="23" spans="20:39" x14ac:dyDescent="0.3">
      <c r="T23">
        <v>22</v>
      </c>
      <c r="U23">
        <v>19782.993053849397</v>
      </c>
      <c r="V23">
        <v>7.759921200115393</v>
      </c>
      <c r="W23">
        <v>1118.4905080911622</v>
      </c>
      <c r="X23">
        <v>1.1249855183851674</v>
      </c>
      <c r="Y23">
        <v>1.1166339304349435</v>
      </c>
      <c r="Z23">
        <v>14135.12743939115</v>
      </c>
      <c r="AA23">
        <v>1696.2308225851984</v>
      </c>
      <c r="AB23">
        <v>1124.5321712350919</v>
      </c>
      <c r="AC23">
        <v>1.1146473025620882</v>
      </c>
      <c r="AD23">
        <v>1.1385852935508356</v>
      </c>
      <c r="AE23">
        <v>1.9979079981288124</v>
      </c>
      <c r="AF23">
        <v>0.10729056702518164</v>
      </c>
      <c r="AG23">
        <v>0.27365498374236596</v>
      </c>
      <c r="AI23">
        <v>54.500089478042732</v>
      </c>
      <c r="AJ23">
        <v>21.347894518023363</v>
      </c>
      <c r="AK23">
        <v>23.611827499060091</v>
      </c>
      <c r="AM23">
        <v>5.8437013485522815</v>
      </c>
    </row>
    <row r="24" spans="20:39" x14ac:dyDescent="0.3">
      <c r="T24">
        <v>23</v>
      </c>
      <c r="U24">
        <v>20865.904928459699</v>
      </c>
      <c r="V24">
        <v>7.5436365948492474</v>
      </c>
      <c r="W24">
        <v>1117.7546147846122</v>
      </c>
      <c r="X24">
        <v>1.1271306834780939</v>
      </c>
      <c r="Y24">
        <v>1.0383702442356473</v>
      </c>
      <c r="Z24">
        <v>15148.991841933435</v>
      </c>
      <c r="AA24">
        <v>2207.7822635323082</v>
      </c>
      <c r="AB24">
        <v>1317.4327661413527</v>
      </c>
      <c r="AC24">
        <v>1.1568326801094857</v>
      </c>
      <c r="AD24">
        <v>1.078161205494429</v>
      </c>
      <c r="AE24">
        <v>2.0098376483547034</v>
      </c>
      <c r="AF24">
        <v>8.9282961092833207E-2</v>
      </c>
      <c r="AG24">
        <v>0.30004756886053791</v>
      </c>
      <c r="AI24">
        <v>54.877402518436007</v>
      </c>
      <c r="AJ24">
        <v>28.092350999988518</v>
      </c>
      <c r="AK24">
        <v>15.592182651396225</v>
      </c>
      <c r="AM24">
        <v>5.7931740387730155</v>
      </c>
    </row>
    <row r="25" spans="20:39" x14ac:dyDescent="0.3">
      <c r="T25">
        <v>24</v>
      </c>
      <c r="U25">
        <v>17978.578048443273</v>
      </c>
      <c r="V25">
        <v>8.3150765070285431</v>
      </c>
      <c r="W25">
        <v>1114.3841634526802</v>
      </c>
      <c r="X25">
        <v>1.0936397977378194</v>
      </c>
      <c r="Y25">
        <v>1.1018121240549952</v>
      </c>
      <c r="Z25">
        <v>13856.96367967976</v>
      </c>
      <c r="AA25">
        <v>1716.7999554802623</v>
      </c>
      <c r="AB25">
        <v>1108.9106210002667</v>
      </c>
      <c r="AC25">
        <v>1.1311656388824491</v>
      </c>
      <c r="AD25">
        <v>1.1291500884071388</v>
      </c>
      <c r="AE25">
        <v>2.0075539878391417</v>
      </c>
      <c r="AF25">
        <v>9.13839626137182E-2</v>
      </c>
      <c r="AG25">
        <v>0.29005538950597837</v>
      </c>
      <c r="AI25">
        <v>40.257833135219649</v>
      </c>
      <c r="AJ25">
        <v>22.541415976013688</v>
      </c>
      <c r="AK25">
        <v>21.383590863219347</v>
      </c>
      <c r="AM25">
        <v>5.6719218590905154</v>
      </c>
    </row>
    <row r="26" spans="20:39" x14ac:dyDescent="0.3">
      <c r="T26">
        <v>25</v>
      </c>
      <c r="U26">
        <v>20108.938451832575</v>
      </c>
      <c r="V26">
        <v>7.8713932415105887</v>
      </c>
      <c r="W26">
        <v>1129.8856283006683</v>
      </c>
      <c r="X26">
        <v>1.1065895097119682</v>
      </c>
      <c r="Y26">
        <v>1.1063965320476656</v>
      </c>
      <c r="Z26">
        <v>14086.005965742881</v>
      </c>
      <c r="AA26">
        <v>1721.2813456684719</v>
      </c>
      <c r="AB26">
        <v>1286.6376613077637</v>
      </c>
      <c r="AC26">
        <v>1.0960228805779419</v>
      </c>
      <c r="AD26">
        <v>1.1073401986510294</v>
      </c>
      <c r="AE26">
        <v>2.0084104143132451</v>
      </c>
      <c r="AF26">
        <v>9.2481065250040254E-2</v>
      </c>
      <c r="AG26">
        <v>0.3249658436592911</v>
      </c>
      <c r="AI26">
        <v>50.21920050198144</v>
      </c>
      <c r="AJ26">
        <v>24.532491795318496</v>
      </c>
      <c r="AK26">
        <v>15.260480092684734</v>
      </c>
      <c r="AM26">
        <v>5.6379682105812039</v>
      </c>
    </row>
    <row r="27" spans="20:39" x14ac:dyDescent="0.3">
      <c r="T27">
        <v>26</v>
      </c>
      <c r="U27">
        <v>19554.26186031189</v>
      </c>
      <c r="V27">
        <v>7.4643104801967324</v>
      </c>
      <c r="W27">
        <v>1047.912901836231</v>
      </c>
      <c r="X27">
        <v>1.1117160824916801</v>
      </c>
      <c r="Y27">
        <v>1.1310262103818018</v>
      </c>
      <c r="Z27">
        <v>13662.880866383262</v>
      </c>
      <c r="AA27">
        <v>1731.8084693125975</v>
      </c>
      <c r="AB27">
        <v>1053.779580620967</v>
      </c>
      <c r="AC27">
        <v>1.1197032620879994</v>
      </c>
      <c r="AD27">
        <v>1.1695778203342524</v>
      </c>
      <c r="AE27">
        <v>1.9928768798566567</v>
      </c>
      <c r="AF27">
        <v>9.7551352735951363E-2</v>
      </c>
      <c r="AG27">
        <v>0.30038676369394801</v>
      </c>
      <c r="AI27">
        <v>41.287230539390471</v>
      </c>
      <c r="AJ27">
        <v>22.149146225350535</v>
      </c>
      <c r="AK27">
        <v>16.965728022241233</v>
      </c>
      <c r="AM27">
        <v>5.555073783833909</v>
      </c>
    </row>
    <row r="28" spans="20:39" x14ac:dyDescent="0.3">
      <c r="T28">
        <v>27</v>
      </c>
      <c r="U28">
        <v>18986.527134015803</v>
      </c>
      <c r="V28">
        <v>9.1940884695966716</v>
      </c>
      <c r="W28">
        <v>1014.816899288728</v>
      </c>
      <c r="X28">
        <v>1.1090055990017611</v>
      </c>
      <c r="Y28">
        <v>1.0583532088989291</v>
      </c>
      <c r="Z28">
        <v>14247.272034424854</v>
      </c>
      <c r="AA28">
        <v>1622.8981280312978</v>
      </c>
      <c r="AB28">
        <v>1058.4906174696714</v>
      </c>
      <c r="AC28">
        <v>1.1253734122825023</v>
      </c>
      <c r="AD28">
        <v>1.0205100497669841</v>
      </c>
      <c r="AE28">
        <v>1.9904655052588356</v>
      </c>
      <c r="AF28">
        <v>0.10671208201148429</v>
      </c>
      <c r="AG28">
        <v>0.31079294503569999</v>
      </c>
      <c r="AI28">
        <v>47.241647480927909</v>
      </c>
      <c r="AJ28">
        <v>21.888594141281814</v>
      </c>
      <c r="AK28">
        <v>20.490931023675703</v>
      </c>
      <c r="AM28">
        <v>5.4486391916400958</v>
      </c>
    </row>
    <row r="29" spans="20:39" x14ac:dyDescent="0.3">
      <c r="T29">
        <v>28</v>
      </c>
      <c r="U29">
        <v>19784.505570528807</v>
      </c>
      <c r="V29">
        <v>8.4884214522468771</v>
      </c>
      <c r="W29">
        <v>1098.9435380042589</v>
      </c>
      <c r="X29">
        <v>1.0781552082639914</v>
      </c>
      <c r="Y29">
        <v>1.0113436062635042</v>
      </c>
      <c r="Z29">
        <v>15077.714880163598</v>
      </c>
      <c r="AA29">
        <v>1829.4698155419126</v>
      </c>
      <c r="AB29">
        <v>1194.9254384288661</v>
      </c>
      <c r="AC29">
        <v>1.1117770025353153</v>
      </c>
      <c r="AD29">
        <v>1.1426893593757119</v>
      </c>
      <c r="AE29">
        <v>1.983844660655572</v>
      </c>
      <c r="AF29">
        <v>0.11058101894716102</v>
      </c>
      <c r="AG29">
        <v>0.29221622996526153</v>
      </c>
      <c r="AI29">
        <v>41.844392701355609</v>
      </c>
      <c r="AJ29">
        <v>21.834475107078244</v>
      </c>
      <c r="AK29">
        <v>22.056314726505416</v>
      </c>
      <c r="AM29">
        <v>5.3628156197522197</v>
      </c>
    </row>
    <row r="30" spans="20:39" x14ac:dyDescent="0.3">
      <c r="T30">
        <v>29</v>
      </c>
      <c r="U30">
        <v>18835.704713919666</v>
      </c>
      <c r="V30">
        <v>7.6953107903260518</v>
      </c>
      <c r="W30">
        <v>1174.3479374304288</v>
      </c>
      <c r="X30">
        <v>1.0971030247093201</v>
      </c>
      <c r="Y30">
        <v>1.0763582071875977</v>
      </c>
      <c r="Z30">
        <v>14904.060160194529</v>
      </c>
      <c r="AA30">
        <v>1647.1622658474946</v>
      </c>
      <c r="AB30">
        <v>1142.606837646583</v>
      </c>
      <c r="AC30">
        <v>1.1010402616479988</v>
      </c>
      <c r="AD30">
        <v>1.1081567731417188</v>
      </c>
      <c r="AE30">
        <v>1.991098650200503</v>
      </c>
      <c r="AF30">
        <v>0.10429130424162693</v>
      </c>
      <c r="AG30">
        <v>0.3236598966984176</v>
      </c>
      <c r="AI30">
        <v>43.526782952088759</v>
      </c>
      <c r="AJ30">
        <v>27.249135818894178</v>
      </c>
      <c r="AK30">
        <v>13.514368673783423</v>
      </c>
      <c r="AM30">
        <v>5.3997578865909635</v>
      </c>
    </row>
    <row r="31" spans="20:39" x14ac:dyDescent="0.3">
      <c r="T31">
        <v>30</v>
      </c>
      <c r="U31">
        <v>19227.513831874796</v>
      </c>
      <c r="V31">
        <v>7.8843665837659715</v>
      </c>
      <c r="W31">
        <v>1108.342082129976</v>
      </c>
      <c r="X31">
        <v>1.1019618466814336</v>
      </c>
      <c r="Y31">
        <v>1.0930567460490273</v>
      </c>
      <c r="Z31">
        <v>13253.328268027353</v>
      </c>
      <c r="AA31">
        <v>1931.8146615484293</v>
      </c>
      <c r="AB31">
        <v>1173.1067139629697</v>
      </c>
      <c r="AC31">
        <v>1.1088132651946532</v>
      </c>
      <c r="AD31">
        <v>1.1911152665673446</v>
      </c>
      <c r="AE31">
        <v>2.0224206108423148</v>
      </c>
      <c r="AF31">
        <v>0.11585019484026796</v>
      </c>
      <c r="AG31">
        <v>0.30570435835885879</v>
      </c>
      <c r="AI31">
        <v>49.681001252308917</v>
      </c>
      <c r="AJ31">
        <v>26.881762103430042</v>
      </c>
      <c r="AK31">
        <v>14.120727275756437</v>
      </c>
      <c r="AM31">
        <v>5.4034460563639728</v>
      </c>
    </row>
    <row r="32" spans="20:39" x14ac:dyDescent="0.3">
      <c r="T32">
        <v>31</v>
      </c>
      <c r="U32">
        <v>19452.601484476141</v>
      </c>
      <c r="V32">
        <v>7.8873397757140529</v>
      </c>
      <c r="W32">
        <v>1192.5900878801242</v>
      </c>
      <c r="X32">
        <v>1.0841516252236811</v>
      </c>
      <c r="Y32">
        <v>1.1568645510823456</v>
      </c>
      <c r="Z32">
        <v>14771.203232113396</v>
      </c>
      <c r="AA32">
        <v>1827.8295544368823</v>
      </c>
      <c r="AB32">
        <v>1031.4930606210808</v>
      </c>
      <c r="AC32">
        <v>1.118872140425986</v>
      </c>
      <c r="AD32">
        <v>1.1577468835765707</v>
      </c>
      <c r="AE32">
        <v>1.9940596751828823</v>
      </c>
      <c r="AF32">
        <v>0.11668242170789664</v>
      </c>
      <c r="AG32">
        <v>0.24125064316729558</v>
      </c>
      <c r="AI32">
        <v>42.106162825880475</v>
      </c>
      <c r="AJ32">
        <v>23.349154074671993</v>
      </c>
      <c r="AK32">
        <v>16.916623553579715</v>
      </c>
      <c r="AM32">
        <v>5.333381700077636</v>
      </c>
    </row>
    <row r="33" spans="20:39" x14ac:dyDescent="0.3">
      <c r="T33">
        <v>32</v>
      </c>
      <c r="U33">
        <v>19059.642504926134</v>
      </c>
      <c r="V33">
        <v>9.02872777531854</v>
      </c>
      <c r="W33">
        <v>1086.7299380576605</v>
      </c>
      <c r="X33">
        <v>1.0866348750999637</v>
      </c>
      <c r="Y33">
        <v>1.1098956611632744</v>
      </c>
      <c r="Z33">
        <v>12959.112394569325</v>
      </c>
      <c r="AA33">
        <v>1692.0463129104255</v>
      </c>
      <c r="AB33">
        <v>797.1479039031467</v>
      </c>
      <c r="AC33">
        <v>1.1107234094451373</v>
      </c>
      <c r="AD33">
        <v>1.0329240114962728</v>
      </c>
      <c r="AE33">
        <v>1.9850514389980995</v>
      </c>
      <c r="AF33">
        <v>0.11206052770194831</v>
      </c>
      <c r="AG33">
        <v>0.27337503352907405</v>
      </c>
      <c r="AI33">
        <v>44.746820960875276</v>
      </c>
      <c r="AJ33">
        <v>21.229173710692347</v>
      </c>
      <c r="AK33">
        <v>13.065923623556817</v>
      </c>
      <c r="AM33">
        <v>5.3666384742752165</v>
      </c>
    </row>
    <row r="34" spans="20:39" x14ac:dyDescent="0.3">
      <c r="T34">
        <v>33</v>
      </c>
      <c r="U34">
        <v>20281.13296924677</v>
      </c>
      <c r="V34">
        <v>9.0519213001475514</v>
      </c>
      <c r="W34">
        <v>1121.0167250977336</v>
      </c>
      <c r="X34">
        <v>1.111471233152072</v>
      </c>
      <c r="Y34">
        <v>1.0741040686427739</v>
      </c>
      <c r="Z34">
        <v>13937.798990915724</v>
      </c>
      <c r="AA34">
        <v>1808.5437183297106</v>
      </c>
      <c r="AB34">
        <v>1138.5012549840305</v>
      </c>
      <c r="AC34">
        <v>1.0856512309344675</v>
      </c>
      <c r="AD34">
        <v>1.1296087202575873</v>
      </c>
      <c r="AE34">
        <v>2.0113370420606698</v>
      </c>
      <c r="AF34">
        <v>9.7645470081833122E-2</v>
      </c>
      <c r="AG34">
        <v>0.33348324824630421</v>
      </c>
      <c r="AI34">
        <v>45.624705092718557</v>
      </c>
      <c r="AJ34">
        <v>27.688466293045622</v>
      </c>
      <c r="AK34">
        <v>12.864554809738252</v>
      </c>
      <c r="AM34">
        <v>5.397809800477952</v>
      </c>
    </row>
    <row r="35" spans="20:39" x14ac:dyDescent="0.3">
      <c r="T35">
        <v>34</v>
      </c>
      <c r="U35">
        <v>19696.901841243405</v>
      </c>
      <c r="V35">
        <v>7.5813161827280258</v>
      </c>
      <c r="W35">
        <v>1096.0922899546961</v>
      </c>
      <c r="X35">
        <v>1.15496751816983</v>
      </c>
      <c r="Y35">
        <v>1.1365804387167007</v>
      </c>
      <c r="Z35">
        <v>14301.043647357828</v>
      </c>
      <c r="AA35">
        <v>1848.1281690711992</v>
      </c>
      <c r="AB35">
        <v>1002.0835907427717</v>
      </c>
      <c r="AC35">
        <v>1.0976947854651746</v>
      </c>
      <c r="AD35">
        <v>1.1163136991695866</v>
      </c>
      <c r="AE35">
        <v>1.9961333942934778</v>
      </c>
      <c r="AF35">
        <v>9.4456017397004793E-2</v>
      </c>
      <c r="AG35">
        <v>0.29636868719217402</v>
      </c>
      <c r="AI35">
        <v>49.312689428404411</v>
      </c>
      <c r="AJ35">
        <v>20.669827921849258</v>
      </c>
      <c r="AK35">
        <v>17.516068058289058</v>
      </c>
      <c r="AM35">
        <v>5.3219565828945541</v>
      </c>
    </row>
    <row r="36" spans="20:39" x14ac:dyDescent="0.3">
      <c r="T36">
        <v>35</v>
      </c>
      <c r="U36">
        <v>20767.53739468021</v>
      </c>
      <c r="V36">
        <v>7.9847859534725139</v>
      </c>
      <c r="W36">
        <v>1048.8890520637103</v>
      </c>
      <c r="X36">
        <v>1.1365584987719533</v>
      </c>
      <c r="Y36">
        <v>1.1848086865823668</v>
      </c>
      <c r="Z36">
        <v>13339.496313640571</v>
      </c>
      <c r="AA36">
        <v>1857.8283974080346</v>
      </c>
      <c r="AB36">
        <v>1085.1766950089711</v>
      </c>
      <c r="AC36">
        <v>1.0838500222705711</v>
      </c>
      <c r="AD36">
        <v>1.1265814488100843</v>
      </c>
      <c r="AE36">
        <v>1.9892859910103577</v>
      </c>
      <c r="AF36">
        <v>9.8452822733328185E-2</v>
      </c>
      <c r="AG36">
        <v>0.35280086239675579</v>
      </c>
      <c r="AI36">
        <v>45.318619455564757</v>
      </c>
      <c r="AJ36">
        <v>23.322524487974182</v>
      </c>
      <c r="AK36">
        <v>24.442676108063655</v>
      </c>
      <c r="AM36">
        <v>5.3228822645159442</v>
      </c>
    </row>
    <row r="37" spans="20:39" x14ac:dyDescent="0.3">
      <c r="T37">
        <v>36</v>
      </c>
      <c r="U37">
        <v>18899.399418758818</v>
      </c>
      <c r="V37">
        <v>6.8873634456410278</v>
      </c>
      <c r="W37">
        <v>980.84145006844062</v>
      </c>
      <c r="X37">
        <v>1.1027011096608015</v>
      </c>
      <c r="Y37">
        <v>1.1533844514899647</v>
      </c>
      <c r="Z37">
        <v>13126.632941437691</v>
      </c>
      <c r="AA37">
        <v>1950.9993914341555</v>
      </c>
      <c r="AB37">
        <v>1208.1972931735668</v>
      </c>
      <c r="AC37">
        <v>1.107350074695385</v>
      </c>
      <c r="AD37">
        <v>1.0632609869219594</v>
      </c>
      <c r="AE37">
        <v>1.996255307192482</v>
      </c>
      <c r="AF37">
        <v>9.8451373284179161E-2</v>
      </c>
      <c r="AG37">
        <v>0.35624658936341141</v>
      </c>
      <c r="AI37">
        <v>44.597461132218555</v>
      </c>
      <c r="AJ37">
        <v>38.600431292771688</v>
      </c>
      <c r="AK37">
        <v>26.286249681272754</v>
      </c>
      <c r="AM37">
        <v>5.3788187060006996</v>
      </c>
    </row>
    <row r="38" spans="20:39" x14ac:dyDescent="0.3">
      <c r="T38">
        <v>37</v>
      </c>
      <c r="U38">
        <v>19305.393312881701</v>
      </c>
      <c r="V38">
        <v>8.2477106277235297</v>
      </c>
      <c r="W38">
        <v>1067.5402196954208</v>
      </c>
      <c r="X38">
        <v>1.105965527501654</v>
      </c>
      <c r="Y38">
        <v>1.1113894764675298</v>
      </c>
      <c r="Z38">
        <v>15040.438931664181</v>
      </c>
      <c r="AA38">
        <v>1793.2921420997641</v>
      </c>
      <c r="AB38">
        <v>1176.1252382968485</v>
      </c>
      <c r="AC38">
        <v>1.0901084997685877</v>
      </c>
      <c r="AD38">
        <v>1.069340516661655</v>
      </c>
      <c r="AE38">
        <v>2.010340675670756</v>
      </c>
      <c r="AF38">
        <v>0.10642669517904604</v>
      </c>
      <c r="AG38">
        <v>0.33326732287677019</v>
      </c>
      <c r="AI38">
        <v>47.090479415668163</v>
      </c>
      <c r="AJ38">
        <v>25.556511814253344</v>
      </c>
      <c r="AK38">
        <v>21.908677819233031</v>
      </c>
      <c r="AM38">
        <v>5.3200586079402408</v>
      </c>
    </row>
    <row r="39" spans="20:39" x14ac:dyDescent="0.3">
      <c r="T39">
        <v>38</v>
      </c>
      <c r="U39">
        <v>19352.136444795917</v>
      </c>
      <c r="V39">
        <v>8.7315567573862545</v>
      </c>
      <c r="W39">
        <v>983.69723714315876</v>
      </c>
      <c r="X39">
        <v>1.0980266058740602</v>
      </c>
      <c r="Y39">
        <v>1.1356019872758321</v>
      </c>
      <c r="Z39">
        <v>14058.351779121364</v>
      </c>
      <c r="AA39">
        <v>1776.4166776161712</v>
      </c>
      <c r="AB39">
        <v>1209.0701819041474</v>
      </c>
      <c r="AC39">
        <v>1.0679815447173457</v>
      </c>
      <c r="AD39">
        <v>1.1774022200370577</v>
      </c>
      <c r="AE39">
        <v>1.9886406858737888</v>
      </c>
      <c r="AF39">
        <v>9.3863199765066227E-2</v>
      </c>
      <c r="AG39">
        <v>0.33817025397050543</v>
      </c>
      <c r="AI39">
        <v>42.890134552012661</v>
      </c>
      <c r="AJ39">
        <v>30.193692028116367</v>
      </c>
      <c r="AK39">
        <v>26.977024875706888</v>
      </c>
      <c r="AM39">
        <v>5.3884881166526313</v>
      </c>
    </row>
    <row r="40" spans="20:39" x14ac:dyDescent="0.3">
      <c r="T40">
        <v>39</v>
      </c>
      <c r="U40">
        <v>20571.338291650325</v>
      </c>
      <c r="V40">
        <v>7.5498755179556838</v>
      </c>
      <c r="W40">
        <v>1034.1235507488791</v>
      </c>
      <c r="X40">
        <v>1.1206800874287324</v>
      </c>
      <c r="Y40">
        <v>1.0916338802617096</v>
      </c>
      <c r="Z40">
        <v>13230.929928829606</v>
      </c>
      <c r="AA40">
        <v>2043.9349495704337</v>
      </c>
      <c r="AB40">
        <v>1115.9315206959436</v>
      </c>
      <c r="AC40">
        <v>1.1032830715997035</v>
      </c>
      <c r="AD40">
        <v>1.1173082273025075</v>
      </c>
      <c r="AE40">
        <v>1.9974903988725619</v>
      </c>
      <c r="AF40">
        <v>0.10283392777432351</v>
      </c>
      <c r="AG40">
        <v>0.37026250281584988</v>
      </c>
      <c r="AI40">
        <v>55.836673212541925</v>
      </c>
      <c r="AJ40">
        <v>23.818489636873128</v>
      </c>
      <c r="AK40">
        <v>12.570028521774624</v>
      </c>
      <c r="AM40">
        <v>5.4360147896732585</v>
      </c>
    </row>
    <row r="41" spans="20:39" x14ac:dyDescent="0.3">
      <c r="T41">
        <v>40</v>
      </c>
      <c r="U41">
        <v>19423.827948712966</v>
      </c>
      <c r="V41">
        <v>8.9634419182511262</v>
      </c>
      <c r="W41">
        <v>1038.5520646223404</v>
      </c>
      <c r="X41">
        <v>1.0978852834578716</v>
      </c>
      <c r="Y41">
        <v>1.0994394574012496</v>
      </c>
      <c r="Z41">
        <v>15469.289890349661</v>
      </c>
      <c r="AA41">
        <v>1382.4688668846518</v>
      </c>
      <c r="AB41">
        <v>1097.2756434083608</v>
      </c>
      <c r="AC41">
        <v>1.1012679278928574</v>
      </c>
      <c r="AD41">
        <v>1.1197988925068048</v>
      </c>
      <c r="AE41">
        <v>2.0084790752789914</v>
      </c>
      <c r="AF41">
        <v>0.10736446759492357</v>
      </c>
      <c r="AG41">
        <v>0.31461766316080486</v>
      </c>
      <c r="AI41">
        <v>55.104194491542572</v>
      </c>
      <c r="AJ41">
        <v>25.071142015474443</v>
      </c>
      <c r="AK41">
        <v>15.984671817396411</v>
      </c>
      <c r="AM41">
        <v>5.3937775446569551</v>
      </c>
    </row>
    <row r="42" spans="20:39" x14ac:dyDescent="0.3">
      <c r="T42">
        <v>41</v>
      </c>
      <c r="U42">
        <v>20365.684794108183</v>
      </c>
      <c r="V42">
        <v>7.7236749321483664</v>
      </c>
      <c r="W42">
        <v>1099.8468217045263</v>
      </c>
      <c r="X42">
        <v>1.1347430581314071</v>
      </c>
      <c r="Y42">
        <v>1.0925880605988323</v>
      </c>
      <c r="Z42">
        <v>13670.728069137405</v>
      </c>
      <c r="AA42">
        <v>1909.0208080876203</v>
      </c>
      <c r="AB42">
        <v>1424.5664114896015</v>
      </c>
      <c r="AC42">
        <v>1.0903528596567316</v>
      </c>
      <c r="AD42">
        <v>1.1142313852945283</v>
      </c>
      <c r="AE42">
        <v>1.9854315278534507</v>
      </c>
      <c r="AF42">
        <v>0.11244363908362122</v>
      </c>
      <c r="AG42">
        <v>0.28923814141591214</v>
      </c>
      <c r="AI42">
        <v>45.084899413308634</v>
      </c>
      <c r="AJ42">
        <v>23.606315417968567</v>
      </c>
      <c r="AK42">
        <v>11.910824487304264</v>
      </c>
      <c r="AM42">
        <v>5.4516321877398006</v>
      </c>
    </row>
    <row r="43" spans="20:39" x14ac:dyDescent="0.3">
      <c r="T43">
        <v>42</v>
      </c>
      <c r="U43">
        <v>19176.192710169187</v>
      </c>
      <c r="V43">
        <v>7.9397995745533496</v>
      </c>
      <c r="W43">
        <v>1000.3623819437641</v>
      </c>
      <c r="X43">
        <v>1.1385075984723771</v>
      </c>
      <c r="Y43">
        <v>1.1277788790328465</v>
      </c>
      <c r="Z43">
        <v>14358.479470461541</v>
      </c>
      <c r="AA43">
        <v>1598.5020945903627</v>
      </c>
      <c r="AB43">
        <v>1053.2043283580085</v>
      </c>
      <c r="AC43">
        <v>1.1205577501874893</v>
      </c>
      <c r="AD43">
        <v>1.1532524207227879</v>
      </c>
      <c r="AE43">
        <v>1.9959163009603054</v>
      </c>
      <c r="AF43">
        <v>0.11870071805961216</v>
      </c>
      <c r="AG43">
        <v>0.29878966673898955</v>
      </c>
      <c r="AI43">
        <v>51.21589425366173</v>
      </c>
      <c r="AJ43">
        <v>27.570830927244138</v>
      </c>
      <c r="AK43">
        <v>22.260345036299366</v>
      </c>
      <c r="AM43">
        <v>5.4056487446823844</v>
      </c>
    </row>
    <row r="44" spans="20:39" x14ac:dyDescent="0.3">
      <c r="T44">
        <v>43</v>
      </c>
      <c r="U44">
        <v>21637.193256593564</v>
      </c>
      <c r="V44">
        <v>6.737994075920346</v>
      </c>
      <c r="W44">
        <v>1037.2470980970043</v>
      </c>
      <c r="X44">
        <v>1.1284089382176066</v>
      </c>
      <c r="Y44">
        <v>1.222945843334331</v>
      </c>
      <c r="Z44">
        <v>13628.906331014976</v>
      </c>
      <c r="AA44">
        <v>1780.4772242587203</v>
      </c>
      <c r="AB44">
        <v>1189.2152052263671</v>
      </c>
      <c r="AC44">
        <v>1.0889171077609072</v>
      </c>
      <c r="AD44">
        <v>1.06876102851468</v>
      </c>
      <c r="AE44">
        <v>2.0081474961679153</v>
      </c>
      <c r="AF44">
        <v>0.1180644986584491</v>
      </c>
      <c r="AG44">
        <v>0.29253603010984425</v>
      </c>
      <c r="AI44">
        <v>51.290698428585344</v>
      </c>
      <c r="AJ44">
        <v>28.356248580291624</v>
      </c>
      <c r="AK44">
        <v>14.092446465943375</v>
      </c>
      <c r="AM44">
        <v>5.3986269788632457</v>
      </c>
    </row>
    <row r="45" spans="20:39" x14ac:dyDescent="0.3">
      <c r="T45">
        <v>44</v>
      </c>
      <c r="U45">
        <v>21506.056261179536</v>
      </c>
      <c r="V45">
        <v>7.2775323886321726</v>
      </c>
      <c r="W45">
        <v>1035.8859175051628</v>
      </c>
      <c r="X45">
        <v>1.088699002418734</v>
      </c>
      <c r="Y45">
        <v>1.1176352464858212</v>
      </c>
      <c r="Z45">
        <v>14798.70401285811</v>
      </c>
      <c r="AA45">
        <v>1988.4817471251338</v>
      </c>
      <c r="AB45">
        <v>1251.7610242325625</v>
      </c>
      <c r="AC45">
        <v>1.1733912224970839</v>
      </c>
      <c r="AD45">
        <v>1.0931769686748138</v>
      </c>
      <c r="AE45">
        <v>1.9892466347916089</v>
      </c>
      <c r="AF45">
        <v>0.10067794116195847</v>
      </c>
      <c r="AG45">
        <v>0.32931758543789397</v>
      </c>
      <c r="AI45">
        <v>44.238347981848705</v>
      </c>
      <c r="AJ45">
        <v>30.388302346936456</v>
      </c>
      <c r="AK45">
        <v>39.306800077574735</v>
      </c>
      <c r="AM45">
        <v>6.1412513034939984</v>
      </c>
    </row>
    <row r="46" spans="20:39" x14ac:dyDescent="0.3">
      <c r="T46">
        <v>45</v>
      </c>
      <c r="U46">
        <v>18311.758031424957</v>
      </c>
      <c r="V46">
        <v>6.9772746938167707</v>
      </c>
      <c r="W46">
        <v>1099.7083943610664</v>
      </c>
      <c r="X46">
        <v>1.102356395913126</v>
      </c>
      <c r="Y46">
        <v>1.1272531398221532</v>
      </c>
      <c r="Z46">
        <v>14133.8127720099</v>
      </c>
      <c r="AA46">
        <v>1817.9390625050478</v>
      </c>
      <c r="AB46">
        <v>1088.8309737408997</v>
      </c>
      <c r="AC46">
        <v>1.1070426009677605</v>
      </c>
      <c r="AD46">
        <v>1.0617024387163638</v>
      </c>
      <c r="AE46">
        <v>1.9804432346316161</v>
      </c>
      <c r="AF46">
        <v>8.7624729140131835E-2</v>
      </c>
      <c r="AG46">
        <v>0.22492622258573117</v>
      </c>
      <c r="AI46">
        <v>46.395226309821638</v>
      </c>
      <c r="AJ46">
        <v>24.82614432110563</v>
      </c>
      <c r="AK46">
        <v>24.301150532960168</v>
      </c>
      <c r="AM46">
        <v>6.1114866815953057</v>
      </c>
    </row>
    <row r="47" spans="20:39" x14ac:dyDescent="0.3">
      <c r="T47">
        <v>46</v>
      </c>
      <c r="U47">
        <v>20057.1975919045</v>
      </c>
      <c r="V47">
        <v>7.3860052135163539</v>
      </c>
      <c r="W47">
        <v>1026.1930580977503</v>
      </c>
      <c r="X47">
        <v>1.1093432441301037</v>
      </c>
      <c r="Y47">
        <v>1.1866768691117806</v>
      </c>
      <c r="Z47">
        <v>13395.045030983985</v>
      </c>
      <c r="AA47">
        <v>1999.3834540764044</v>
      </c>
      <c r="AB47">
        <v>1040.8557677732731</v>
      </c>
      <c r="AC47">
        <v>1.0946852506169922</v>
      </c>
      <c r="AD47">
        <v>1.0179776700201328</v>
      </c>
      <c r="AE47">
        <v>2.0072660272414224</v>
      </c>
      <c r="AF47">
        <v>8.0867497525637044E-2</v>
      </c>
      <c r="AG47">
        <v>0.32138382212907302</v>
      </c>
      <c r="AI47">
        <v>46.669122397583102</v>
      </c>
      <c r="AJ47">
        <v>32.393698221723668</v>
      </c>
      <c r="AK47">
        <v>20.738409904508252</v>
      </c>
      <c r="AM47">
        <v>6.0451454858613367</v>
      </c>
    </row>
    <row r="48" spans="20:39" x14ac:dyDescent="0.3">
      <c r="T48">
        <v>47</v>
      </c>
      <c r="U48">
        <v>21491.278342829861</v>
      </c>
      <c r="V48">
        <v>9.0942039670357335</v>
      </c>
      <c r="W48">
        <v>1045.9882612025781</v>
      </c>
      <c r="X48">
        <v>1.0869442673700864</v>
      </c>
      <c r="Y48">
        <v>1.0561719390083524</v>
      </c>
      <c r="Z48">
        <v>14816.032831785256</v>
      </c>
      <c r="AA48">
        <v>1753.6791469835055</v>
      </c>
      <c r="AB48">
        <v>1245.2351290447039</v>
      </c>
      <c r="AC48">
        <v>1.0689117222082938</v>
      </c>
      <c r="AD48">
        <v>1.0223205582588846</v>
      </c>
      <c r="AE48">
        <v>2.023232850975436</v>
      </c>
      <c r="AF48">
        <v>0.10367132655269849</v>
      </c>
      <c r="AG48">
        <v>0.30819423340922836</v>
      </c>
      <c r="AI48">
        <v>36.520102147339699</v>
      </c>
      <c r="AJ48">
        <v>26.393181610062033</v>
      </c>
      <c r="AK48">
        <v>21.989595478782537</v>
      </c>
      <c r="AM48">
        <v>5.9882274608656356</v>
      </c>
    </row>
    <row r="49" spans="20:39" x14ac:dyDescent="0.3">
      <c r="T49">
        <v>48</v>
      </c>
      <c r="U49">
        <v>20526.925046427765</v>
      </c>
      <c r="V49">
        <v>8.0813391997574371</v>
      </c>
      <c r="W49">
        <v>1062.2217555319455</v>
      </c>
      <c r="X49">
        <v>1.0807432236760723</v>
      </c>
      <c r="Y49">
        <v>1.0097085443494547</v>
      </c>
      <c r="Z49">
        <v>13625.289476133499</v>
      </c>
      <c r="AA49">
        <v>1649.2612825649153</v>
      </c>
      <c r="AB49">
        <v>1047.9188450951187</v>
      </c>
      <c r="AC49">
        <v>1.1458899722490619</v>
      </c>
      <c r="AD49">
        <v>1.1627945537047186</v>
      </c>
      <c r="AE49">
        <v>2.0139267970635579</v>
      </c>
      <c r="AF49">
        <v>9.8619432600804649E-2</v>
      </c>
      <c r="AG49">
        <v>0.33510401022574254</v>
      </c>
      <c r="AI49">
        <v>41.161889979533484</v>
      </c>
      <c r="AJ49">
        <v>30.353024786153828</v>
      </c>
      <c r="AK49">
        <v>18.870629835128298</v>
      </c>
      <c r="AM49">
        <v>5.9255997369851903</v>
      </c>
    </row>
    <row r="50" spans="20:39" x14ac:dyDescent="0.3">
      <c r="T50">
        <v>49</v>
      </c>
      <c r="U50">
        <v>20052.482841915749</v>
      </c>
      <c r="V50">
        <v>6.6273325402918868</v>
      </c>
      <c r="W50">
        <v>1000.9568438559348</v>
      </c>
      <c r="X50">
        <v>1.1213161399710938</v>
      </c>
      <c r="Y50">
        <v>1.1545861486843578</v>
      </c>
      <c r="Z50">
        <v>13190.346219422709</v>
      </c>
      <c r="AA50">
        <v>1983.6551283703354</v>
      </c>
      <c r="AB50">
        <v>1284.3745387298836</v>
      </c>
      <c r="AC50">
        <v>1.0675785287307145</v>
      </c>
      <c r="AD50">
        <v>1.147842830973441</v>
      </c>
      <c r="AE50">
        <v>1.9995175314788034</v>
      </c>
      <c r="AF50">
        <v>8.9942590342042772E-2</v>
      </c>
      <c r="AG50">
        <v>0.2895818624569883</v>
      </c>
      <c r="AI50">
        <v>47.35726108788355</v>
      </c>
      <c r="AJ50">
        <v>35.631887370852226</v>
      </c>
      <c r="AK50">
        <v>21.216061436514174</v>
      </c>
      <c r="AM50">
        <v>5.8672869753848138</v>
      </c>
    </row>
    <row r="51" spans="20:39" x14ac:dyDescent="0.3">
      <c r="T51">
        <v>50</v>
      </c>
      <c r="U51">
        <v>21118.046575889643</v>
      </c>
      <c r="V51">
        <v>8.3199254728661778</v>
      </c>
      <c r="W51">
        <v>1045.080658876192</v>
      </c>
      <c r="X51">
        <v>1.126005039787606</v>
      </c>
      <c r="Y51">
        <v>1.1043177493475258</v>
      </c>
      <c r="Z51">
        <v>13942.358962868702</v>
      </c>
      <c r="AA51">
        <v>1846.1403538969068</v>
      </c>
      <c r="AB51">
        <v>1284.9241334900557</v>
      </c>
      <c r="AC51">
        <v>1.096278290900228</v>
      </c>
      <c r="AD51">
        <v>1.1331702620134554</v>
      </c>
      <c r="AE51">
        <v>2.0095984746079125</v>
      </c>
      <c r="AF51">
        <v>0.10247921841865633</v>
      </c>
      <c r="AG51">
        <v>0.29457100863072089</v>
      </c>
      <c r="AI51">
        <v>43.259286283402709</v>
      </c>
      <c r="AJ51">
        <v>26.660436366821006</v>
      </c>
      <c r="AK51">
        <v>20.865005405730464</v>
      </c>
      <c r="AM51">
        <v>5.8091337622058372</v>
      </c>
    </row>
    <row r="52" spans="20:39" x14ac:dyDescent="0.3">
      <c r="T52">
        <v>51</v>
      </c>
      <c r="U52">
        <v>19451.5135302093</v>
      </c>
      <c r="V52">
        <v>7.5641742604160083</v>
      </c>
      <c r="W52">
        <v>960.96222549357458</v>
      </c>
      <c r="X52">
        <v>1.1226365317247264</v>
      </c>
      <c r="Y52">
        <v>1.036606880792071</v>
      </c>
      <c r="Z52">
        <v>15006.303851975626</v>
      </c>
      <c r="AA52">
        <v>1518.2619489456908</v>
      </c>
      <c r="AB52">
        <v>1301.4877521710448</v>
      </c>
      <c r="AC52">
        <v>1.1377390379166132</v>
      </c>
      <c r="AD52">
        <v>1.1839003738565093</v>
      </c>
      <c r="AE52">
        <v>1.98842681987487</v>
      </c>
      <c r="AF52">
        <v>0.12716621753238516</v>
      </c>
      <c r="AG52">
        <v>0.27114444680848582</v>
      </c>
      <c r="AI52">
        <v>49.498550510650006</v>
      </c>
      <c r="AJ52">
        <v>25.753574949940887</v>
      </c>
      <c r="AK52">
        <v>24.89172704245054</v>
      </c>
      <c r="AM52">
        <v>5.7947440698536967</v>
      </c>
    </row>
    <row r="53" spans="20:39" x14ac:dyDescent="0.3">
      <c r="T53">
        <v>52</v>
      </c>
      <c r="U53">
        <v>18634.792350404423</v>
      </c>
      <c r="V53">
        <v>8.0153571361889036</v>
      </c>
      <c r="W53">
        <v>1014.4505794200921</v>
      </c>
      <c r="X53">
        <v>1.1105964108229285</v>
      </c>
      <c r="Y53">
        <v>1.1265624756091694</v>
      </c>
      <c r="Z53">
        <v>14727.357294279976</v>
      </c>
      <c r="AA53">
        <v>1878.0518871167133</v>
      </c>
      <c r="AB53">
        <v>1122.4314674246639</v>
      </c>
      <c r="AC53">
        <v>1.1033614907537688</v>
      </c>
      <c r="AD53">
        <v>1.1265047478595454</v>
      </c>
      <c r="AE53">
        <v>1.994830414311517</v>
      </c>
      <c r="AF53">
        <v>0.11021185932576821</v>
      </c>
      <c r="AG53">
        <v>0.31653394822744496</v>
      </c>
      <c r="AI53">
        <v>54.561911335120243</v>
      </c>
      <c r="AJ53">
        <v>23.478068664347123</v>
      </c>
      <c r="AK53">
        <v>9.8706872248091138</v>
      </c>
      <c r="AM53">
        <v>5.9038727168471228</v>
      </c>
    </row>
    <row r="54" spans="20:39" x14ac:dyDescent="0.3">
      <c r="T54">
        <v>53</v>
      </c>
      <c r="U54">
        <v>21614.322582570567</v>
      </c>
      <c r="V54">
        <v>7.868160015039785</v>
      </c>
      <c r="W54">
        <v>1068.6125687627118</v>
      </c>
      <c r="X54">
        <v>1.1504685373129382</v>
      </c>
      <c r="Y54">
        <v>1.1053057417757552</v>
      </c>
      <c r="Z54">
        <v>14827.907611032055</v>
      </c>
      <c r="AA54">
        <v>1628.3052422972305</v>
      </c>
      <c r="AB54">
        <v>1347.9845911111361</v>
      </c>
      <c r="AC54">
        <v>1.1401035715170704</v>
      </c>
      <c r="AD54">
        <v>1.1112794405304753</v>
      </c>
      <c r="AE54">
        <v>2.0015629987799568</v>
      </c>
      <c r="AF54">
        <v>0.11029863026321012</v>
      </c>
      <c r="AG54">
        <v>0.27709029793247408</v>
      </c>
      <c r="AI54">
        <v>45.671447889042092</v>
      </c>
      <c r="AJ54">
        <v>23.060178287374246</v>
      </c>
      <c r="AK54">
        <v>23.063913214302719</v>
      </c>
      <c r="AM54">
        <v>5.8649628720023985</v>
      </c>
    </row>
    <row r="55" spans="20:39" x14ac:dyDescent="0.3">
      <c r="T55">
        <v>54</v>
      </c>
      <c r="U55">
        <v>20773.777699502407</v>
      </c>
      <c r="V55">
        <v>9.6219503737432692</v>
      </c>
      <c r="W55">
        <v>1072.243185015328</v>
      </c>
      <c r="X55">
        <v>1.149294937017227</v>
      </c>
      <c r="Y55">
        <v>1.0011227978193167</v>
      </c>
      <c r="Z55">
        <v>13831.77139039748</v>
      </c>
      <c r="AA55">
        <v>1968.2535003019516</v>
      </c>
      <c r="AB55">
        <v>990.17605016551624</v>
      </c>
      <c r="AC55">
        <v>1.1007887046707119</v>
      </c>
      <c r="AD55">
        <v>1.0729382898628081</v>
      </c>
      <c r="AE55">
        <v>2.0194569902609074</v>
      </c>
      <c r="AF55">
        <v>8.9111712273927723E-2</v>
      </c>
      <c r="AG55">
        <v>0.29519676896518482</v>
      </c>
      <c r="AI55">
        <v>43.980540103185994</v>
      </c>
      <c r="AJ55">
        <v>23.266293403861024</v>
      </c>
      <c r="AK55">
        <v>21.148877476437246</v>
      </c>
      <c r="AM55">
        <v>5.8123894556616857</v>
      </c>
    </row>
    <row r="56" spans="20:39" x14ac:dyDescent="0.3">
      <c r="T56">
        <v>55</v>
      </c>
      <c r="U56">
        <v>19905.067797168242</v>
      </c>
      <c r="V56">
        <v>7.7903339391020214</v>
      </c>
      <c r="W56">
        <v>954.36704822756815</v>
      </c>
      <c r="X56">
        <v>1.147943759203504</v>
      </c>
      <c r="Y56">
        <v>1.0924815958950753</v>
      </c>
      <c r="Z56">
        <v>13583.472772345383</v>
      </c>
      <c r="AA56">
        <v>1768.7326959376244</v>
      </c>
      <c r="AB56">
        <v>1084.8195389149039</v>
      </c>
      <c r="AC56">
        <v>1.1030616609215484</v>
      </c>
      <c r="AD56">
        <v>1.0928043226147157</v>
      </c>
      <c r="AE56">
        <v>2.0030067740991857</v>
      </c>
      <c r="AF56">
        <v>7.029453180002132E-2</v>
      </c>
      <c r="AG56">
        <v>0.32364420247856113</v>
      </c>
      <c r="AI56">
        <v>47.409074074325694</v>
      </c>
      <c r="AJ56">
        <v>27.560504464900983</v>
      </c>
      <c r="AK56">
        <v>19.790805487239965</v>
      </c>
      <c r="AM56">
        <v>5.7583196164445614</v>
      </c>
    </row>
    <row r="57" spans="20:39" x14ac:dyDescent="0.3">
      <c r="T57">
        <v>56</v>
      </c>
      <c r="U57">
        <v>20054.555481460477</v>
      </c>
      <c r="V57">
        <v>7.8867261023507123</v>
      </c>
      <c r="W57">
        <v>1067.578246087633</v>
      </c>
      <c r="X57">
        <v>1.1362470428637932</v>
      </c>
      <c r="Y57">
        <v>1.1055494697947303</v>
      </c>
      <c r="Z57">
        <v>15516.52316608971</v>
      </c>
      <c r="AA57">
        <v>1860.5179550616119</v>
      </c>
      <c r="AB57">
        <v>1222.0827964022756</v>
      </c>
      <c r="AC57">
        <v>1.1000053440917217</v>
      </c>
      <c r="AD57">
        <v>1.0069152531581722</v>
      </c>
      <c r="AE57">
        <v>2.0183851973136555</v>
      </c>
      <c r="AF57">
        <v>8.0733150437085441E-2</v>
      </c>
      <c r="AG57">
        <v>0.31323889533141019</v>
      </c>
      <c r="AI57">
        <v>42.521839016881572</v>
      </c>
      <c r="AJ57">
        <v>25.450594460444812</v>
      </c>
      <c r="AK57">
        <v>20.467865334987813</v>
      </c>
      <c r="AM57">
        <v>5.7064341393332798</v>
      </c>
    </row>
    <row r="58" spans="20:39" x14ac:dyDescent="0.3">
      <c r="T58">
        <v>57</v>
      </c>
      <c r="U58">
        <v>21307.188220033317</v>
      </c>
      <c r="V58">
        <v>7.2675549057048636</v>
      </c>
      <c r="W58">
        <v>1101.648792984412</v>
      </c>
      <c r="X58">
        <v>1.1121470907771343</v>
      </c>
      <c r="Y58">
        <v>1.1814218835681289</v>
      </c>
      <c r="Z58">
        <v>14406.229498088158</v>
      </c>
      <c r="AA58">
        <v>1744.1701906971484</v>
      </c>
      <c r="AB58">
        <v>967.43006772821218</v>
      </c>
      <c r="AC58">
        <v>1.0879129777565162</v>
      </c>
      <c r="AD58">
        <v>1.1637011559865726</v>
      </c>
      <c r="AE58">
        <v>2.0047757464534932</v>
      </c>
      <c r="AF58">
        <v>0.10882068593071575</v>
      </c>
      <c r="AG58">
        <v>0.29641178309234545</v>
      </c>
      <c r="AI58">
        <v>43.189618995879229</v>
      </c>
      <c r="AJ58">
        <v>30.970726754382039</v>
      </c>
      <c r="AK58">
        <v>27.999395155559945</v>
      </c>
      <c r="AM58">
        <v>5.7583531961342072</v>
      </c>
    </row>
    <row r="59" spans="20:39" x14ac:dyDescent="0.3">
      <c r="T59">
        <v>58</v>
      </c>
      <c r="U59">
        <v>18942.253731452511</v>
      </c>
      <c r="V59">
        <v>7.8951474125987939</v>
      </c>
      <c r="W59">
        <v>1073.2825681319957</v>
      </c>
      <c r="X59">
        <v>1.1082072382770989</v>
      </c>
      <c r="Y59">
        <v>1.1638387371026924</v>
      </c>
      <c r="Z59">
        <v>13998.178613393544</v>
      </c>
      <c r="AA59">
        <v>1916.9687393153727</v>
      </c>
      <c r="AB59">
        <v>1157.1416475935766</v>
      </c>
      <c r="AC59">
        <v>1.1490192802613119</v>
      </c>
      <c r="AD59">
        <v>1.1471003667336734</v>
      </c>
      <c r="AE59">
        <v>1.9911160670464711</v>
      </c>
      <c r="AF59">
        <v>0.10468034362151392</v>
      </c>
      <c r="AG59">
        <v>0.28326437634992913</v>
      </c>
      <c r="AI59">
        <v>44.524866897566348</v>
      </c>
      <c r="AJ59">
        <v>30.707383845589437</v>
      </c>
      <c r="AK59">
        <v>27.693325089286812</v>
      </c>
      <c r="AM59">
        <v>5.7973973977947431</v>
      </c>
    </row>
    <row r="60" spans="20:39" x14ac:dyDescent="0.3">
      <c r="T60">
        <v>59</v>
      </c>
      <c r="U60">
        <v>19876.216926440979</v>
      </c>
      <c r="V60">
        <v>6.3561113843394255</v>
      </c>
      <c r="W60">
        <v>1036.7593275801521</v>
      </c>
      <c r="X60">
        <v>1.0781148921892165</v>
      </c>
      <c r="Y60">
        <v>1.1119945176437824</v>
      </c>
      <c r="Z60">
        <v>13665.643924059692</v>
      </c>
      <c r="AA60">
        <v>2106.4164716298765</v>
      </c>
      <c r="AB60">
        <v>867.68932920830639</v>
      </c>
      <c r="AC60">
        <v>1.1085977670101217</v>
      </c>
      <c r="AD60">
        <v>1.0884611625164127</v>
      </c>
      <c r="AE60">
        <v>1.9877555599015659</v>
      </c>
      <c r="AF60">
        <v>0.11769497498897863</v>
      </c>
      <c r="AG60">
        <v>0.28053195037322148</v>
      </c>
      <c r="AI60">
        <v>46.955645452352229</v>
      </c>
      <c r="AJ60">
        <v>27.886598737029978</v>
      </c>
      <c r="AK60">
        <v>12.58435221171549</v>
      </c>
      <c r="AM60">
        <v>5.8296070475200947</v>
      </c>
    </row>
    <row r="61" spans="20:39" x14ac:dyDescent="0.3">
      <c r="T61">
        <v>60</v>
      </c>
      <c r="U61">
        <v>19439.247848873827</v>
      </c>
      <c r="V61">
        <v>7.4537856367418458</v>
      </c>
      <c r="W61">
        <v>1085.7781735914182</v>
      </c>
      <c r="X61">
        <v>1.1010383505270331</v>
      </c>
      <c r="Y61">
        <v>1.0702680281340942</v>
      </c>
      <c r="Z61">
        <v>14586.270298323076</v>
      </c>
      <c r="AA61">
        <v>1872.744181048711</v>
      </c>
      <c r="AB61">
        <v>1122.9042699659374</v>
      </c>
      <c r="AC61">
        <v>1.1375268129417344</v>
      </c>
      <c r="AD61">
        <v>1.0830931299622149</v>
      </c>
      <c r="AE61">
        <v>2.0002349110422672</v>
      </c>
      <c r="AF61">
        <v>9.06752470671493E-2</v>
      </c>
      <c r="AG61">
        <v>0.26574088199745377</v>
      </c>
      <c r="AI61">
        <v>39.765769559431824</v>
      </c>
      <c r="AJ61">
        <v>26.020971390290899</v>
      </c>
      <c r="AK61">
        <v>18.629473339876597</v>
      </c>
      <c r="AM61">
        <v>5.7825424066622384</v>
      </c>
    </row>
    <row r="62" spans="20:39" x14ac:dyDescent="0.3">
      <c r="T62">
        <v>61</v>
      </c>
      <c r="U62">
        <v>20911.836609537218</v>
      </c>
      <c r="V62">
        <v>9.3976437017694376</v>
      </c>
      <c r="W62">
        <v>1050.2675353189995</v>
      </c>
      <c r="X62">
        <v>1.1189759434960038</v>
      </c>
      <c r="Y62">
        <v>1.1024024935363141</v>
      </c>
      <c r="Z62">
        <v>14550.771177060338</v>
      </c>
      <c r="AA62">
        <v>1593.913851988593</v>
      </c>
      <c r="AB62">
        <v>1347.446992353475</v>
      </c>
      <c r="AC62">
        <v>1.1334286205687376</v>
      </c>
      <c r="AD62">
        <v>1.0474921236221668</v>
      </c>
      <c r="AE62">
        <v>2.006903887185552</v>
      </c>
      <c r="AF62">
        <v>8.535721170291094E-2</v>
      </c>
      <c r="AG62">
        <v>0.30332621467845683</v>
      </c>
      <c r="AI62">
        <v>47.611308039167511</v>
      </c>
      <c r="AJ62">
        <v>27.254482779983384</v>
      </c>
      <c r="AK62">
        <v>24.174939614644973</v>
      </c>
      <c r="AM62">
        <v>5.7597638349098856</v>
      </c>
    </row>
    <row r="63" spans="20:39" x14ac:dyDescent="0.3">
      <c r="T63">
        <v>62</v>
      </c>
      <c r="U63">
        <v>20025.88584543757</v>
      </c>
      <c r="V63">
        <v>8.0860231821546211</v>
      </c>
      <c r="W63">
        <v>1081.5156280573835</v>
      </c>
      <c r="X63">
        <v>1.1311856795242348</v>
      </c>
      <c r="Y63">
        <v>1.128817914973504</v>
      </c>
      <c r="Z63">
        <v>14412.53601827172</v>
      </c>
      <c r="AA63">
        <v>1766.7082331768927</v>
      </c>
      <c r="AB63">
        <v>1335.3978949801619</v>
      </c>
      <c r="AC63">
        <v>1.1291679753853845</v>
      </c>
      <c r="AD63">
        <v>1.1189600810894378</v>
      </c>
      <c r="AE63">
        <v>1.9999397970344623</v>
      </c>
      <c r="AF63">
        <v>0.11663536928535895</v>
      </c>
      <c r="AG63">
        <v>0.31517701418905636</v>
      </c>
      <c r="AI63">
        <v>44.625682855705122</v>
      </c>
      <c r="AJ63">
        <v>29.180404151408229</v>
      </c>
      <c r="AK63">
        <v>18.505759181003636</v>
      </c>
      <c r="AM63">
        <v>5.715537656019805</v>
      </c>
    </row>
    <row r="64" spans="20:39" x14ac:dyDescent="0.3">
      <c r="T64">
        <v>63</v>
      </c>
      <c r="U64">
        <v>20462.619696434987</v>
      </c>
      <c r="V64">
        <v>7.7102299352840893</v>
      </c>
      <c r="W64">
        <v>1060.6106229350235</v>
      </c>
      <c r="X64">
        <v>1.0861306845855618</v>
      </c>
      <c r="Y64">
        <v>1.1036983282504995</v>
      </c>
      <c r="Z64">
        <v>14107.538039369529</v>
      </c>
      <c r="AA64">
        <v>1536.9614126493332</v>
      </c>
      <c r="AB64">
        <v>1106.7799823683224</v>
      </c>
      <c r="AC64">
        <v>1.1051825794126984</v>
      </c>
      <c r="AD64">
        <v>1.0256707095841435</v>
      </c>
      <c r="AE64">
        <v>2.010782566066625</v>
      </c>
      <c r="AF64">
        <v>8.8590561553165081E-2</v>
      </c>
      <c r="AG64">
        <v>0.27549538066386425</v>
      </c>
      <c r="AI64">
        <v>46.112956344218837</v>
      </c>
      <c r="AJ64">
        <v>21.64735150498764</v>
      </c>
      <c r="AK64">
        <v>19.794381264024221</v>
      </c>
      <c r="AM64">
        <v>5.6693068367024226</v>
      </c>
    </row>
    <row r="65" spans="20:39" x14ac:dyDescent="0.3">
      <c r="T65">
        <v>64</v>
      </c>
      <c r="U65">
        <v>18048.49072508196</v>
      </c>
      <c r="V65">
        <v>7.4294063298092183</v>
      </c>
      <c r="W65">
        <v>1062.6919652639892</v>
      </c>
      <c r="X65">
        <v>1.1303976136123248</v>
      </c>
      <c r="Y65">
        <v>1.1181031029444997</v>
      </c>
      <c r="Z65">
        <v>13748.875805776435</v>
      </c>
      <c r="AA65">
        <v>2069.2892998292405</v>
      </c>
      <c r="AB65">
        <v>1210.7094355111303</v>
      </c>
      <c r="AC65">
        <v>1.1417268745805871</v>
      </c>
      <c r="AD65">
        <v>1.1434574946456928</v>
      </c>
      <c r="AE65">
        <v>2.0020000923953312</v>
      </c>
      <c r="AF65">
        <v>9.1569689959754286E-2</v>
      </c>
      <c r="AG65">
        <v>0.30921197716604215</v>
      </c>
      <c r="AI65">
        <v>43.75836842585737</v>
      </c>
      <c r="AJ65">
        <v>36.725193052245459</v>
      </c>
      <c r="AK65">
        <v>11.579706875611073</v>
      </c>
      <c r="AM65">
        <v>5.7213060379085201</v>
      </c>
    </row>
    <row r="66" spans="20:39" x14ac:dyDescent="0.3">
      <c r="T66">
        <v>65</v>
      </c>
      <c r="U66">
        <v>20835.71784832131</v>
      </c>
      <c r="V66">
        <v>8.4080460015529788</v>
      </c>
      <c r="W66">
        <v>1043.2729732745661</v>
      </c>
      <c r="X66">
        <v>1.1374158041472164</v>
      </c>
      <c r="Y66">
        <v>1.2308437091275377</v>
      </c>
      <c r="Z66">
        <v>14176.328613766253</v>
      </c>
      <c r="AA66">
        <v>1709.7436860092107</v>
      </c>
      <c r="AB66">
        <v>1282.7818538537804</v>
      </c>
      <c r="AC66">
        <v>1.1256030241641466</v>
      </c>
      <c r="AD66">
        <v>1.067681426449123</v>
      </c>
      <c r="AE66">
        <v>2.0125450479304368</v>
      </c>
      <c r="AF66">
        <v>0.10502361348106833</v>
      </c>
      <c r="AG66">
        <v>0.27533717054771623</v>
      </c>
      <c r="AI66">
        <v>41.711151855697572</v>
      </c>
      <c r="AJ66">
        <v>26.631348964275304</v>
      </c>
      <c r="AK66">
        <v>16.091339099750272</v>
      </c>
      <c r="AM66">
        <v>5.6955283319658587</v>
      </c>
    </row>
    <row r="67" spans="20:39" x14ac:dyDescent="0.3">
      <c r="T67">
        <v>66</v>
      </c>
      <c r="U67">
        <v>18704.052875748621</v>
      </c>
      <c r="V67">
        <v>9.1579783733656299</v>
      </c>
      <c r="W67">
        <v>1068.9035601611697</v>
      </c>
      <c r="X67">
        <v>1.1348261778362232</v>
      </c>
      <c r="Y67">
        <v>1.1322752571311774</v>
      </c>
      <c r="Z67">
        <v>13039.808719357414</v>
      </c>
      <c r="AA67">
        <v>1600.7706185461693</v>
      </c>
      <c r="AB67">
        <v>1152.4400251929715</v>
      </c>
      <c r="AC67">
        <v>1.0867671511458781</v>
      </c>
      <c r="AD67">
        <v>1.1710701882842265</v>
      </c>
      <c r="AE67">
        <v>1.9734682295078709</v>
      </c>
      <c r="AF67">
        <v>8.9011980799773238E-2</v>
      </c>
      <c r="AG67">
        <v>0.32819233938138709</v>
      </c>
      <c r="AI67">
        <v>47.687931368802232</v>
      </c>
      <c r="AJ67">
        <v>25.375671744340757</v>
      </c>
      <c r="AK67">
        <v>31.609783090230593</v>
      </c>
      <c r="AM67">
        <v>5.835799182126185</v>
      </c>
    </row>
    <row r="68" spans="20:39" x14ac:dyDescent="0.3">
      <c r="T68">
        <v>67</v>
      </c>
      <c r="U68">
        <v>19602.928479432991</v>
      </c>
      <c r="V68">
        <v>7.4665846249593244</v>
      </c>
      <c r="W68">
        <v>1002.7279042765953</v>
      </c>
      <c r="X68">
        <v>1.1227630871020389</v>
      </c>
      <c r="Y68">
        <v>1.1427436084316493</v>
      </c>
      <c r="Z68">
        <v>13729.659075135938</v>
      </c>
      <c r="AA68">
        <v>1654.3439195538847</v>
      </c>
      <c r="AB68">
        <v>1097.1245871723204</v>
      </c>
      <c r="AC68">
        <v>1.1317145005352458</v>
      </c>
      <c r="AD68">
        <v>1.1873324035124413</v>
      </c>
      <c r="AE68">
        <v>2.0157222336495102</v>
      </c>
      <c r="AF68">
        <v>0.101032462831682</v>
      </c>
      <c r="AG68">
        <v>0.25272557762526748</v>
      </c>
      <c r="AI68">
        <v>46.724924960573041</v>
      </c>
      <c r="AJ68">
        <v>24.223698978473756</v>
      </c>
      <c r="AK68">
        <v>26.489245911334347</v>
      </c>
      <c r="AM68">
        <v>5.8459343242508721</v>
      </c>
    </row>
    <row r="69" spans="20:39" x14ac:dyDescent="0.3">
      <c r="T69">
        <v>68</v>
      </c>
      <c r="U69">
        <v>19563.439337141059</v>
      </c>
      <c r="V69">
        <v>9.5114494333426798</v>
      </c>
      <c r="W69">
        <v>1029.3254920629211</v>
      </c>
      <c r="X69">
        <v>1.0975231052539776</v>
      </c>
      <c r="Y69">
        <v>1.1502783028483132</v>
      </c>
      <c r="Z69">
        <v>13243.4718537668</v>
      </c>
      <c r="AA69">
        <v>1682.6241240067816</v>
      </c>
      <c r="AB69">
        <v>1071.0812889939011</v>
      </c>
      <c r="AC69">
        <v>1.0918970001838726</v>
      </c>
      <c r="AD69">
        <v>1.0877231846397613</v>
      </c>
      <c r="AE69">
        <v>1.9952976522822488</v>
      </c>
      <c r="AF69">
        <v>0.11210520156771464</v>
      </c>
      <c r="AG69">
        <v>0.29275242994245676</v>
      </c>
      <c r="AI69">
        <v>52.22910237699859</v>
      </c>
      <c r="AJ69">
        <v>28.554929388309272</v>
      </c>
      <c r="AK69">
        <v>29.979049900915602</v>
      </c>
      <c r="AM69">
        <v>5.9253455764020657</v>
      </c>
    </row>
    <row r="70" spans="20:39" x14ac:dyDescent="0.3">
      <c r="T70">
        <v>69</v>
      </c>
      <c r="U70">
        <v>20681.198857068106</v>
      </c>
      <c r="V70">
        <v>8.5785824739161587</v>
      </c>
      <c r="W70">
        <v>1075.5194764200396</v>
      </c>
      <c r="X70">
        <v>1.1448180410761191</v>
      </c>
      <c r="Y70">
        <v>1.0568218340886</v>
      </c>
      <c r="Z70">
        <v>14997.49513827659</v>
      </c>
      <c r="AA70">
        <v>1845.6615735568387</v>
      </c>
      <c r="AB70">
        <v>1096.9883109622758</v>
      </c>
      <c r="AC70">
        <v>1.086964511883272</v>
      </c>
      <c r="AD70">
        <v>1.050822309021338</v>
      </c>
      <c r="AE70">
        <v>1.9991118019801721</v>
      </c>
      <c r="AF70">
        <v>0.10476845154002713</v>
      </c>
      <c r="AG70">
        <v>0.29552504629336995</v>
      </c>
      <c r="AI70">
        <v>48.133519887338537</v>
      </c>
      <c r="AJ70">
        <v>22.312769983406753</v>
      </c>
      <c r="AK70">
        <v>23.808334632653523</v>
      </c>
      <c r="AM70">
        <v>5.8975222681427288</v>
      </c>
    </row>
    <row r="71" spans="20:39" x14ac:dyDescent="0.3">
      <c r="T71">
        <v>70</v>
      </c>
      <c r="U71">
        <v>19546.742250330502</v>
      </c>
      <c r="V71">
        <v>9.0926770118285241</v>
      </c>
      <c r="W71">
        <v>930.50889711060006</v>
      </c>
      <c r="X71">
        <v>1.1303845640828141</v>
      </c>
      <c r="Y71">
        <v>1.139320151035365</v>
      </c>
      <c r="Z71">
        <v>13447.138298401795</v>
      </c>
      <c r="AA71">
        <v>1643.3938889702229</v>
      </c>
      <c r="AB71">
        <v>1251.2894256355085</v>
      </c>
      <c r="AC71">
        <v>1.1424950972198484</v>
      </c>
      <c r="AD71">
        <v>1.0700895443952139</v>
      </c>
      <c r="AE71">
        <v>1.9856407705446641</v>
      </c>
      <c r="AF71">
        <v>8.3347820558127589E-2</v>
      </c>
      <c r="AG71">
        <v>0.40101416976088927</v>
      </c>
      <c r="AI71">
        <v>39.65755423100817</v>
      </c>
      <c r="AJ71">
        <v>25.146195674474175</v>
      </c>
      <c r="AK71">
        <v>14.379334069936462</v>
      </c>
      <c r="AM71">
        <v>5.8967401689792727</v>
      </c>
    </row>
    <row r="72" spans="20:39" x14ac:dyDescent="0.3">
      <c r="T72">
        <v>71</v>
      </c>
      <c r="U72">
        <v>19668.268323913217</v>
      </c>
      <c r="V72">
        <v>8.5833275726132339</v>
      </c>
      <c r="W72">
        <v>1023.5871789172859</v>
      </c>
      <c r="X72">
        <v>1.1040099138434949</v>
      </c>
      <c r="Y72">
        <v>1.1122952345172177</v>
      </c>
      <c r="Z72">
        <v>14938.290519809942</v>
      </c>
      <c r="AA72">
        <v>2130.2748860718052</v>
      </c>
      <c r="AB72">
        <v>1025.3334127245707</v>
      </c>
      <c r="AC72">
        <v>1.1326835780370275</v>
      </c>
      <c r="AD72">
        <v>1.2335475550799853</v>
      </c>
      <c r="AE72">
        <v>2.0105876569504972</v>
      </c>
      <c r="AF72">
        <v>0.10135548067876041</v>
      </c>
      <c r="AG72">
        <v>0.29230220185499928</v>
      </c>
      <c r="AI72">
        <v>50.175416874291308</v>
      </c>
      <c r="AJ72">
        <v>27.437344631619151</v>
      </c>
      <c r="AK72">
        <v>20.810365658745678</v>
      </c>
      <c r="AM72">
        <v>5.8549458965809951</v>
      </c>
    </row>
    <row r="73" spans="20:39" x14ac:dyDescent="0.3">
      <c r="T73">
        <v>72</v>
      </c>
      <c r="U73">
        <v>18935.575830193124</v>
      </c>
      <c r="V73">
        <v>7.2890290482571753</v>
      </c>
      <c r="W73">
        <v>1125.2140568166024</v>
      </c>
      <c r="X73">
        <v>1.1332917285558031</v>
      </c>
      <c r="Y73">
        <v>1.1669167481153735</v>
      </c>
      <c r="Z73">
        <v>13790.008718923775</v>
      </c>
      <c r="AA73">
        <v>2054.6258659653631</v>
      </c>
      <c r="AB73">
        <v>1013.0165288185385</v>
      </c>
      <c r="AC73">
        <v>1.1262718671037304</v>
      </c>
      <c r="AD73">
        <v>1.0384009345344076</v>
      </c>
      <c r="AE73">
        <v>2.0036141154518115</v>
      </c>
      <c r="AF73">
        <v>0.10491968787179955</v>
      </c>
      <c r="AG73">
        <v>0.28568404854335255</v>
      </c>
      <c r="AI73">
        <v>38.472593117844141</v>
      </c>
      <c r="AJ73">
        <v>23.550344327211562</v>
      </c>
      <c r="AK73">
        <v>23.998107826987503</v>
      </c>
      <c r="AM73">
        <v>5.8308679407676474</v>
      </c>
    </row>
    <row r="74" spans="20:39" x14ac:dyDescent="0.3">
      <c r="T74">
        <v>73</v>
      </c>
      <c r="U74">
        <v>19669.390264908045</v>
      </c>
      <c r="V74">
        <v>8.8379114039105122</v>
      </c>
      <c r="W74">
        <v>1035.8893195535709</v>
      </c>
      <c r="X74">
        <v>1.1214959313716824</v>
      </c>
      <c r="Y74">
        <v>1.1797239305069698</v>
      </c>
      <c r="Z74">
        <v>13164.449430396546</v>
      </c>
      <c r="AA74">
        <v>1782.1954034512778</v>
      </c>
      <c r="AB74">
        <v>1171.237982487394</v>
      </c>
      <c r="AC74">
        <v>1.1314904827653194</v>
      </c>
      <c r="AD74">
        <v>1.1707496457339526</v>
      </c>
      <c r="AE74">
        <v>1.9985696264053638</v>
      </c>
      <c r="AF74">
        <v>0.10291431855298078</v>
      </c>
      <c r="AG74">
        <v>0.26705313461922148</v>
      </c>
      <c r="AI74">
        <v>38.863416132689487</v>
      </c>
      <c r="AJ74">
        <v>27.783639139534859</v>
      </c>
      <c r="AK74">
        <v>24.005008780541324</v>
      </c>
      <c r="AM74">
        <v>5.8069556927296881</v>
      </c>
    </row>
    <row r="75" spans="20:39" x14ac:dyDescent="0.3">
      <c r="T75">
        <v>74</v>
      </c>
      <c r="U75">
        <v>19900.656926167405</v>
      </c>
      <c r="V75">
        <v>9.5348175428567643</v>
      </c>
      <c r="W75">
        <v>1203.911324534552</v>
      </c>
      <c r="X75">
        <v>1.086691229070573</v>
      </c>
      <c r="Y75">
        <v>1.10253355552215</v>
      </c>
      <c r="Z75">
        <v>14281.802123037683</v>
      </c>
      <c r="AA75">
        <v>1837.0964261740526</v>
      </c>
      <c r="AB75">
        <v>1139.1129963438661</v>
      </c>
      <c r="AC75">
        <v>1.0779680114565775</v>
      </c>
      <c r="AD75">
        <v>1.1738797208994751</v>
      </c>
      <c r="AE75">
        <v>2.0126096766801584</v>
      </c>
      <c r="AF75">
        <v>0.1039174845693684</v>
      </c>
      <c r="AG75">
        <v>0.30988546988047083</v>
      </c>
      <c r="AI75">
        <v>44.892138157985315</v>
      </c>
      <c r="AJ75">
        <v>27.246862772829672</v>
      </c>
      <c r="AK75">
        <v>20.119744451837313</v>
      </c>
      <c r="AM75">
        <v>5.7670804727139888</v>
      </c>
    </row>
    <row r="76" spans="20:39" x14ac:dyDescent="0.3">
      <c r="T76">
        <v>75</v>
      </c>
      <c r="U76">
        <v>19097.275701236693</v>
      </c>
      <c r="V76">
        <v>10.018232370833447</v>
      </c>
      <c r="W76">
        <v>1006.1721983144465</v>
      </c>
      <c r="X76">
        <v>1.1172453500943391</v>
      </c>
      <c r="Y76">
        <v>1.0491731393017565</v>
      </c>
      <c r="Z76">
        <v>12944.908996930797</v>
      </c>
      <c r="AA76">
        <v>1535.0196982885436</v>
      </c>
      <c r="AB76">
        <v>936.79959782142214</v>
      </c>
      <c r="AC76">
        <v>1.1275716695138804</v>
      </c>
      <c r="AD76">
        <v>1.2909699034258688</v>
      </c>
      <c r="AE76">
        <v>1.9802593000058677</v>
      </c>
      <c r="AF76">
        <v>9.7266055793255701E-2</v>
      </c>
      <c r="AG76">
        <v>0.29367306017215955</v>
      </c>
      <c r="AI76">
        <v>49.191162249457285</v>
      </c>
      <c r="AJ76">
        <v>28.728971422133306</v>
      </c>
      <c r="AK76">
        <v>17.977905963296219</v>
      </c>
      <c r="AM76">
        <v>5.734208803235167</v>
      </c>
    </row>
    <row r="77" spans="20:39" x14ac:dyDescent="0.3">
      <c r="T77">
        <v>76</v>
      </c>
      <c r="U77">
        <v>18938.732690195611</v>
      </c>
      <c r="V77">
        <v>7.9699878006436826</v>
      </c>
      <c r="W77">
        <v>1082.6762089432975</v>
      </c>
      <c r="X77">
        <v>1.1369373326331276</v>
      </c>
      <c r="Y77">
        <v>1.1027937599169644</v>
      </c>
      <c r="Z77">
        <v>13608.075480480031</v>
      </c>
      <c r="AA77">
        <v>1628.4349584002346</v>
      </c>
      <c r="AB77">
        <v>1183.8156243791886</v>
      </c>
      <c r="AC77">
        <v>1.1285222451248893</v>
      </c>
      <c r="AD77">
        <v>1.0993960397048057</v>
      </c>
      <c r="AE77">
        <v>2.0079972691437185</v>
      </c>
      <c r="AF77">
        <v>0.10845737990917413</v>
      </c>
      <c r="AG77">
        <v>0.26205500523447678</v>
      </c>
      <c r="AI77">
        <v>47.841503284364748</v>
      </c>
      <c r="AJ77">
        <v>31.708334682917702</v>
      </c>
      <c r="AK77">
        <v>15.372252333845466</v>
      </c>
      <c r="AM77">
        <v>5.7233895953711968</v>
      </c>
    </row>
    <row r="78" spans="20:39" x14ac:dyDescent="0.3">
      <c r="T78">
        <v>77</v>
      </c>
      <c r="U78">
        <v>19705.334174832238</v>
      </c>
      <c r="V78">
        <v>8.4250308523993738</v>
      </c>
      <c r="W78">
        <v>1070.3625798570517</v>
      </c>
      <c r="X78">
        <v>1.0861868603586553</v>
      </c>
      <c r="Y78">
        <v>1.1090226701909518</v>
      </c>
      <c r="Z78">
        <v>13440.808826007569</v>
      </c>
      <c r="AA78">
        <v>1739.7803656492599</v>
      </c>
      <c r="AB78">
        <v>1024.943540289632</v>
      </c>
      <c r="AC78">
        <v>1.1038766858478624</v>
      </c>
      <c r="AD78">
        <v>1.1724487396941039</v>
      </c>
      <c r="AE78">
        <v>2.0078466271566948</v>
      </c>
      <c r="AF78">
        <v>0.10592106394962245</v>
      </c>
      <c r="AG78">
        <v>0.28491182548079053</v>
      </c>
      <c r="AI78">
        <v>45.51071717214117</v>
      </c>
      <c r="AJ78">
        <v>33.402191755909371</v>
      </c>
      <c r="AK78">
        <v>31.154057730642766</v>
      </c>
      <c r="AM78">
        <v>5.8211244026397448</v>
      </c>
    </row>
    <row r="79" spans="20:39" x14ac:dyDescent="0.3">
      <c r="T79">
        <v>78</v>
      </c>
      <c r="U79">
        <v>19570.613465530587</v>
      </c>
      <c r="V79">
        <v>8.8643353562390921</v>
      </c>
      <c r="W79">
        <v>1062.2575072133786</v>
      </c>
      <c r="X79">
        <v>1.1311849690200293</v>
      </c>
      <c r="Y79">
        <v>1.1118482928398201</v>
      </c>
      <c r="Z79">
        <v>13995.4922499596</v>
      </c>
      <c r="AA79">
        <v>1812.4062113079908</v>
      </c>
      <c r="AB79">
        <v>1258.6016547566528</v>
      </c>
      <c r="AC79">
        <v>1.1222034495993745</v>
      </c>
      <c r="AD79">
        <v>1.1628192208735755</v>
      </c>
      <c r="AE79">
        <v>2.0021439101984035</v>
      </c>
      <c r="AF79">
        <v>8.3279363447990293E-2</v>
      </c>
      <c r="AG79">
        <v>0.31339743688378002</v>
      </c>
      <c r="AI79">
        <v>46.631812546637327</v>
      </c>
      <c r="AJ79">
        <v>28.736126695604099</v>
      </c>
      <c r="AK79">
        <v>17.252384583075763</v>
      </c>
      <c r="AM79">
        <v>5.7937508306043801</v>
      </c>
    </row>
    <row r="80" spans="20:39" x14ac:dyDescent="0.3">
      <c r="T80">
        <v>79</v>
      </c>
      <c r="U80">
        <v>19949.809533960866</v>
      </c>
      <c r="V80">
        <v>7.5333395537686965</v>
      </c>
      <c r="W80">
        <v>1072.254897155075</v>
      </c>
      <c r="X80">
        <v>1.0802487219325294</v>
      </c>
      <c r="Y80">
        <v>1.053297947083357</v>
      </c>
      <c r="Z80">
        <v>15505.45188506685</v>
      </c>
      <c r="AA80">
        <v>1967.7036013727034</v>
      </c>
      <c r="AB80">
        <v>1262.3267362178785</v>
      </c>
      <c r="AC80">
        <v>1.1079189378074012</v>
      </c>
      <c r="AD80">
        <v>1.1667934065365362</v>
      </c>
      <c r="AE80">
        <v>1.987018805594386</v>
      </c>
      <c r="AF80">
        <v>9.6275508041808053E-2</v>
      </c>
      <c r="AG80">
        <v>0.29728376234459175</v>
      </c>
      <c r="AI80">
        <v>49.978488260758731</v>
      </c>
      <c r="AJ80">
        <v>25.548562336399108</v>
      </c>
      <c r="AK80">
        <v>20.766648640537959</v>
      </c>
      <c r="AM80">
        <v>5.7567317659735044</v>
      </c>
    </row>
    <row r="81" spans="20:39" x14ac:dyDescent="0.3">
      <c r="T81">
        <v>80</v>
      </c>
      <c r="U81">
        <v>20587.344249182453</v>
      </c>
      <c r="V81">
        <v>7.6395740763684286</v>
      </c>
      <c r="W81">
        <v>1040.3149785746932</v>
      </c>
      <c r="X81">
        <v>1.1370946009064999</v>
      </c>
      <c r="Y81">
        <v>1.1254233028992466</v>
      </c>
      <c r="Z81">
        <v>14050.303987825155</v>
      </c>
      <c r="AA81">
        <v>2168.019956398834</v>
      </c>
      <c r="AB81">
        <v>1131.1480319965553</v>
      </c>
      <c r="AC81">
        <v>1.1048914845996614</v>
      </c>
      <c r="AD81">
        <v>1.1115460729902009</v>
      </c>
      <c r="AE81">
        <v>2.0010267291746939</v>
      </c>
      <c r="AF81">
        <v>7.9996434491665547E-2</v>
      </c>
      <c r="AG81">
        <v>0.30712370404983486</v>
      </c>
      <c r="AI81">
        <v>47.784283445029779</v>
      </c>
      <c r="AJ81">
        <v>31.835135164359155</v>
      </c>
      <c r="AK81">
        <v>10.03734489390002</v>
      </c>
      <c r="AM81">
        <v>5.8342372179647297</v>
      </c>
    </row>
    <row r="82" spans="20:39" x14ac:dyDescent="0.3">
      <c r="T82">
        <v>81</v>
      </c>
      <c r="U82">
        <v>20019.77507616689</v>
      </c>
      <c r="V82">
        <v>9.2155464909170295</v>
      </c>
      <c r="W82">
        <v>1034.8291619245406</v>
      </c>
      <c r="X82">
        <v>1.1303851663912234</v>
      </c>
      <c r="Y82">
        <v>1.0866970159840605</v>
      </c>
      <c r="Z82">
        <v>13160.83405054588</v>
      </c>
      <c r="AA82">
        <v>1758.0305479790109</v>
      </c>
      <c r="AB82">
        <v>1031.5053462722763</v>
      </c>
      <c r="AC82">
        <v>1.1269471336453407</v>
      </c>
      <c r="AD82">
        <v>1.1788542214823057</v>
      </c>
      <c r="AE82">
        <v>1.9796884344161283</v>
      </c>
      <c r="AF82">
        <v>0.11093445070403567</v>
      </c>
      <c r="AG82">
        <v>0.28426846934079958</v>
      </c>
      <c r="AI82">
        <v>45.402745856677562</v>
      </c>
      <c r="AJ82">
        <v>24.906443582403039</v>
      </c>
      <c r="AK82">
        <v>20.932247880214536</v>
      </c>
      <c r="AM82">
        <v>5.7982661110860967</v>
      </c>
    </row>
    <row r="83" spans="20:39" x14ac:dyDescent="0.3">
      <c r="T83">
        <v>82</v>
      </c>
      <c r="U83">
        <v>20886.491925810362</v>
      </c>
      <c r="V83">
        <v>7.1394874434538531</v>
      </c>
      <c r="W83">
        <v>1065.8438758901586</v>
      </c>
      <c r="X83">
        <v>1.0869655628054651</v>
      </c>
      <c r="Y83">
        <v>1.0922711862357712</v>
      </c>
      <c r="Z83">
        <v>14758.915097831125</v>
      </c>
      <c r="AA83">
        <v>1912.8907654069171</v>
      </c>
      <c r="AB83">
        <v>1036.0724374877836</v>
      </c>
      <c r="AC83">
        <v>1.0911841615295939</v>
      </c>
      <c r="AD83">
        <v>1.0848262749285122</v>
      </c>
      <c r="AE83">
        <v>2.0131055895624614</v>
      </c>
      <c r="AF83">
        <v>9.6999917903609442E-2</v>
      </c>
      <c r="AG83">
        <v>0.25858999365842905</v>
      </c>
      <c r="AI83">
        <v>49.470442291389858</v>
      </c>
      <c r="AJ83">
        <v>23.388975500181239</v>
      </c>
      <c r="AK83">
        <v>14.600121090142466</v>
      </c>
      <c r="AM83">
        <v>5.7952881129212042</v>
      </c>
    </row>
    <row r="84" spans="20:39" x14ac:dyDescent="0.3">
      <c r="T84">
        <v>83</v>
      </c>
      <c r="U84">
        <v>20543.631948068436</v>
      </c>
      <c r="V84">
        <v>8.1566193832927354</v>
      </c>
      <c r="W84">
        <v>1016.9822723750576</v>
      </c>
      <c r="X84">
        <v>1.0960265790048913</v>
      </c>
      <c r="Y84">
        <v>1.1800547980846525</v>
      </c>
      <c r="Z84">
        <v>14081.557186689932</v>
      </c>
      <c r="AA84">
        <v>1681.8835900662546</v>
      </c>
      <c r="AB84">
        <v>1199.3526578558844</v>
      </c>
      <c r="AC84">
        <v>1.1361161504104424</v>
      </c>
      <c r="AD84">
        <v>1.1433466752685972</v>
      </c>
      <c r="AE84">
        <v>2.0088977976925295</v>
      </c>
      <c r="AF84">
        <v>0.10772008451383185</v>
      </c>
      <c r="AG84">
        <v>0.30612743855216018</v>
      </c>
      <c r="AI84">
        <v>48.04162662130706</v>
      </c>
      <c r="AJ84">
        <v>32.232419455419219</v>
      </c>
      <c r="AK84">
        <v>13.553348887333097</v>
      </c>
      <c r="AM84">
        <v>5.8047399189826487</v>
      </c>
    </row>
    <row r="85" spans="20:39" x14ac:dyDescent="0.3">
      <c r="T85">
        <v>84</v>
      </c>
      <c r="U85">
        <v>19746.936805560254</v>
      </c>
      <c r="V85">
        <v>7.8246492394601885</v>
      </c>
      <c r="W85">
        <v>1087.2773929623588</v>
      </c>
      <c r="X85">
        <v>1.0816533673282485</v>
      </c>
      <c r="Y85">
        <v>1.1738908982960319</v>
      </c>
      <c r="Z85">
        <v>14028.40986314598</v>
      </c>
      <c r="AA85">
        <v>1662.8267998083872</v>
      </c>
      <c r="AB85">
        <v>1130.8724399115736</v>
      </c>
      <c r="AC85">
        <v>1.1093730255409004</v>
      </c>
      <c r="AD85">
        <v>1.3161127718897832</v>
      </c>
      <c r="AE85">
        <v>1.9887416189719094</v>
      </c>
      <c r="AF85">
        <v>8.1553730245886774E-2</v>
      </c>
      <c r="AG85">
        <v>0.28629954339433283</v>
      </c>
      <c r="AI85">
        <v>44.037066549906342</v>
      </c>
      <c r="AJ85">
        <v>23.582599361009343</v>
      </c>
      <c r="AK85">
        <v>20.830593138095001</v>
      </c>
      <c r="AM85">
        <v>5.7703121549272725</v>
      </c>
    </row>
    <row r="86" spans="20:39" x14ac:dyDescent="0.3">
      <c r="T86">
        <v>85</v>
      </c>
      <c r="U86">
        <v>20142.889895472221</v>
      </c>
      <c r="V86">
        <v>8.6080531114117562</v>
      </c>
      <c r="W86">
        <v>1029.2927944507319</v>
      </c>
      <c r="X86">
        <v>1.1469023361871398</v>
      </c>
      <c r="Y86">
        <v>1.1561769823021057</v>
      </c>
      <c r="Z86">
        <v>13806.653772176402</v>
      </c>
      <c r="AA86">
        <v>2034.1876010743665</v>
      </c>
      <c r="AB86">
        <v>1089.4335651354265</v>
      </c>
      <c r="AC86">
        <v>1.108177748709408</v>
      </c>
      <c r="AD86">
        <v>1.0054792727356319</v>
      </c>
      <c r="AE86">
        <v>2.0053140552020468</v>
      </c>
      <c r="AF86">
        <v>0.109200047362255</v>
      </c>
      <c r="AG86">
        <v>0.35256044885139243</v>
      </c>
      <c r="AI86">
        <v>46.207617064720161</v>
      </c>
      <c r="AJ86">
        <v>23.195801109401138</v>
      </c>
      <c r="AK86">
        <v>20.365415062032643</v>
      </c>
      <c r="AM86">
        <v>5.7359653052558395</v>
      </c>
    </row>
    <row r="87" spans="20:39" x14ac:dyDescent="0.3">
      <c r="T87">
        <v>86</v>
      </c>
      <c r="U87">
        <v>19658.440191256639</v>
      </c>
      <c r="V87">
        <v>7.8283560457988361</v>
      </c>
      <c r="W87">
        <v>1131.4379335495703</v>
      </c>
      <c r="X87">
        <v>1.1434180363373334</v>
      </c>
      <c r="Y87">
        <v>1.0771355826916313</v>
      </c>
      <c r="Z87">
        <v>13515.782424070872</v>
      </c>
      <c r="AA87">
        <v>2019.1552187201862</v>
      </c>
      <c r="AB87">
        <v>1221.4312411694364</v>
      </c>
      <c r="AC87">
        <v>1.129967153060828</v>
      </c>
      <c r="AD87">
        <v>1.0608312683790253</v>
      </c>
      <c r="AE87">
        <v>1.9789822965410324</v>
      </c>
      <c r="AF87">
        <v>0.11313455694773022</v>
      </c>
      <c r="AG87">
        <v>0.26415782218466688</v>
      </c>
      <c r="AI87">
        <v>44.524818372432577</v>
      </c>
      <c r="AJ87">
        <v>28.572128778860225</v>
      </c>
      <c r="AK87">
        <v>21.932986768369677</v>
      </c>
      <c r="AM87">
        <v>5.7057304785440479</v>
      </c>
    </row>
    <row r="88" spans="20:39" x14ac:dyDescent="0.3">
      <c r="T88">
        <v>87</v>
      </c>
      <c r="U88">
        <v>19819.611914430283</v>
      </c>
      <c r="V88">
        <v>8.4264509784241408</v>
      </c>
      <c r="W88">
        <v>1106.6442960277441</v>
      </c>
      <c r="X88">
        <v>1.1387500859784727</v>
      </c>
      <c r="Y88">
        <v>1.0171203088556298</v>
      </c>
      <c r="Z88">
        <v>14816.220534747863</v>
      </c>
      <c r="AA88">
        <v>1796.6135456134868</v>
      </c>
      <c r="AB88">
        <v>1280.2407028010671</v>
      </c>
      <c r="AC88">
        <v>1.1246680504576381</v>
      </c>
      <c r="AD88">
        <v>1.1891043086605713</v>
      </c>
      <c r="AE88">
        <v>1.9975052891400866</v>
      </c>
      <c r="AF88">
        <v>9.4514325787677017E-2</v>
      </c>
      <c r="AG88">
        <v>0.31900574055494008</v>
      </c>
      <c r="AI88">
        <v>50.422308042846268</v>
      </c>
      <c r="AJ88">
        <v>31.806788041708487</v>
      </c>
      <c r="AK88">
        <v>14.189847281462168</v>
      </c>
      <c r="AM88">
        <v>5.7074314904440531</v>
      </c>
    </row>
    <row r="89" spans="20:39" x14ac:dyDescent="0.3">
      <c r="T89">
        <v>88</v>
      </c>
      <c r="U89">
        <v>19044.706054613889</v>
      </c>
      <c r="V89">
        <v>8.4178654896552132</v>
      </c>
      <c r="W89">
        <v>1050.4242478934659</v>
      </c>
      <c r="X89">
        <v>1.0964833991477183</v>
      </c>
      <c r="Y89">
        <v>1.1618768054344677</v>
      </c>
      <c r="Z89">
        <v>13997.752772296488</v>
      </c>
      <c r="AA89">
        <v>1910.0239903773493</v>
      </c>
      <c r="AB89">
        <v>1426.4247701242666</v>
      </c>
      <c r="AC89">
        <v>1.1201632037083789</v>
      </c>
      <c r="AD89">
        <v>1.1433127308969071</v>
      </c>
      <c r="AE89">
        <v>2.0053773342248165</v>
      </c>
      <c r="AF89">
        <v>0.10140768176290135</v>
      </c>
      <c r="AG89">
        <v>0.26217566867644065</v>
      </c>
      <c r="AI89">
        <v>45.233394669864204</v>
      </c>
      <c r="AJ89">
        <v>27.840734646368375</v>
      </c>
      <c r="AK89">
        <v>19.726521982883625</v>
      </c>
      <c r="AM89">
        <v>5.6746137548178641</v>
      </c>
    </row>
    <row r="90" spans="20:39" x14ac:dyDescent="0.3">
      <c r="T90">
        <v>89</v>
      </c>
      <c r="U90">
        <v>21596.187470869143</v>
      </c>
      <c r="V90">
        <v>8.6358240527083971</v>
      </c>
      <c r="W90">
        <v>1043.0717838151561</v>
      </c>
      <c r="X90">
        <v>1.1551795782691145</v>
      </c>
      <c r="Y90">
        <v>1.0199934439798173</v>
      </c>
      <c r="Z90">
        <v>14133.585294716151</v>
      </c>
      <c r="AA90">
        <v>2125.8458628762492</v>
      </c>
      <c r="AB90">
        <v>1125.3859774997104</v>
      </c>
      <c r="AC90">
        <v>1.0991336760549753</v>
      </c>
      <c r="AD90">
        <v>1.0990384221621943</v>
      </c>
      <c r="AE90">
        <v>2.0064674964883999</v>
      </c>
      <c r="AF90">
        <v>8.6256669421827276E-2</v>
      </c>
      <c r="AG90">
        <v>0.26161439832943267</v>
      </c>
      <c r="AI90">
        <v>50.529713107144907</v>
      </c>
      <c r="AJ90">
        <v>26.75865327560588</v>
      </c>
      <c r="AK90">
        <v>18.540273676836797</v>
      </c>
      <c r="AM90">
        <v>5.6444099226600901</v>
      </c>
    </row>
    <row r="91" spans="20:39" x14ac:dyDescent="0.3">
      <c r="T91">
        <v>90</v>
      </c>
      <c r="U91">
        <v>20594.146811502116</v>
      </c>
      <c r="V91">
        <v>8.1564990182745252</v>
      </c>
      <c r="W91">
        <v>1104.1527618945518</v>
      </c>
      <c r="X91">
        <v>1.1085116925110838</v>
      </c>
      <c r="Y91">
        <v>1.0951419504251501</v>
      </c>
      <c r="Z91">
        <v>13673.739970783619</v>
      </c>
      <c r="AA91">
        <v>1986.0056547623487</v>
      </c>
      <c r="AB91">
        <v>1291.2620693381939</v>
      </c>
      <c r="AC91">
        <v>1.0863903984421368</v>
      </c>
      <c r="AD91">
        <v>1.0753770126686735</v>
      </c>
      <c r="AE91">
        <v>2.0184936068022949</v>
      </c>
      <c r="AF91">
        <v>7.9265457062832154E-2</v>
      </c>
      <c r="AG91">
        <v>0.33857864452335468</v>
      </c>
      <c r="AI91">
        <v>36.861497342056943</v>
      </c>
      <c r="AJ91">
        <v>26.930433755469704</v>
      </c>
      <c r="AK91">
        <v>15.830585032408528</v>
      </c>
      <c r="AM91">
        <v>5.6296820923269442</v>
      </c>
    </row>
    <row r="92" spans="20:39" x14ac:dyDescent="0.3">
      <c r="T92">
        <v>91</v>
      </c>
      <c r="U92">
        <v>19542.775292204999</v>
      </c>
      <c r="V92">
        <v>8.6537415212153359</v>
      </c>
      <c r="W92">
        <v>1020.4051721744271</v>
      </c>
      <c r="X92">
        <v>1.093170108394504</v>
      </c>
      <c r="Y92">
        <v>1.0863211264442849</v>
      </c>
      <c r="Z92">
        <v>13998.409604237284</v>
      </c>
      <c r="AA92">
        <v>2120.0536175417633</v>
      </c>
      <c r="AB92">
        <v>1418.6957630487623</v>
      </c>
      <c r="AC92">
        <v>1.0974314396604368</v>
      </c>
      <c r="AD92">
        <v>1.1080947453460068</v>
      </c>
      <c r="AE92">
        <v>2.0033439007965548</v>
      </c>
      <c r="AF92">
        <v>9.6040750471204514E-2</v>
      </c>
      <c r="AG92">
        <v>0.34674265007931881</v>
      </c>
      <c r="AI92">
        <v>51.209905845827443</v>
      </c>
      <c r="AJ92">
        <v>27.781015510430102</v>
      </c>
      <c r="AK92">
        <v>14.562032197270685</v>
      </c>
      <c r="AM92">
        <v>5.6266390186484463</v>
      </c>
    </row>
    <row r="93" spans="20:39" x14ac:dyDescent="0.3">
      <c r="T93">
        <v>92</v>
      </c>
      <c r="U93">
        <v>20061.369807870589</v>
      </c>
      <c r="V93">
        <v>8.0186789844287656</v>
      </c>
      <c r="W93">
        <v>1130.7018324373794</v>
      </c>
      <c r="X93">
        <v>1.1210542263760082</v>
      </c>
      <c r="Y93">
        <v>1.0962426752322478</v>
      </c>
      <c r="Z93">
        <v>13193.275906245008</v>
      </c>
      <c r="AA93">
        <v>2097.9773652872227</v>
      </c>
      <c r="AB93">
        <v>1235.8492015793383</v>
      </c>
      <c r="AC93">
        <v>1.0960213099696778</v>
      </c>
      <c r="AD93">
        <v>1.1686290018979448</v>
      </c>
      <c r="AE93">
        <v>1.9960641925437879</v>
      </c>
      <c r="AF93">
        <v>0.11410962893619357</v>
      </c>
      <c r="AG93">
        <v>0.29407990169892317</v>
      </c>
      <c r="AI93">
        <v>45.756945266751764</v>
      </c>
      <c r="AJ93">
        <v>30.298257262930424</v>
      </c>
      <c r="AK93">
        <v>21.380675429786169</v>
      </c>
      <c r="AM93">
        <v>5.597820690412469</v>
      </c>
    </row>
    <row r="94" spans="20:39" x14ac:dyDescent="0.3">
      <c r="T94">
        <v>93</v>
      </c>
      <c r="U94">
        <v>21613.678443697041</v>
      </c>
      <c r="V94">
        <v>7.9768437360518671</v>
      </c>
      <c r="W94">
        <v>938.07811845114406</v>
      </c>
      <c r="X94">
        <v>1.1060937784757265</v>
      </c>
      <c r="Y94">
        <v>1.1460824011395163</v>
      </c>
      <c r="Z94">
        <v>15175.94723950658</v>
      </c>
      <c r="AA94">
        <v>1585.2888494974688</v>
      </c>
      <c r="AB94">
        <v>1218.3844157638505</v>
      </c>
      <c r="AC94">
        <v>1.1662728181225028</v>
      </c>
      <c r="AD94">
        <v>1.1574136515387938</v>
      </c>
      <c r="AE94">
        <v>1.9912173285640766</v>
      </c>
      <c r="AF94">
        <v>0.10291342641399498</v>
      </c>
      <c r="AG94">
        <v>0.30982531099867272</v>
      </c>
      <c r="AI94">
        <v>50.299853850033756</v>
      </c>
      <c r="AJ94">
        <v>31.824974937634458</v>
      </c>
      <c r="AK94">
        <v>14.454365693864489</v>
      </c>
      <c r="AM94">
        <v>5.5958553492904439</v>
      </c>
    </row>
    <row r="95" spans="20:39" x14ac:dyDescent="0.3">
      <c r="T95">
        <v>94</v>
      </c>
      <c r="U95">
        <v>19780.255820425249</v>
      </c>
      <c r="V95">
        <v>8.003110918573979</v>
      </c>
      <c r="W95">
        <v>1035.8527241807817</v>
      </c>
      <c r="X95">
        <v>1.1239629178927375</v>
      </c>
      <c r="Y95">
        <v>1.1159590812173612</v>
      </c>
      <c r="Z95">
        <v>15333.782777732502</v>
      </c>
      <c r="AA95">
        <v>1730.5696750537165</v>
      </c>
      <c r="AB95">
        <v>1070.2463948487934</v>
      </c>
      <c r="AC95">
        <v>1.1216460387796192</v>
      </c>
      <c r="AD95">
        <v>1.0937354783779591</v>
      </c>
      <c r="AE95">
        <v>2.0074301245942987</v>
      </c>
      <c r="AF95">
        <v>0.10413904790929035</v>
      </c>
      <c r="AG95">
        <v>0.27693137927111278</v>
      </c>
      <c r="AI95">
        <v>48.644925714778815</v>
      </c>
      <c r="AJ95">
        <v>23.656686302366886</v>
      </c>
      <c r="AK95">
        <v>16.905098586553851</v>
      </c>
      <c r="AM95">
        <v>5.573910343904358</v>
      </c>
    </row>
    <row r="96" spans="20:39" x14ac:dyDescent="0.3">
      <c r="T96">
        <v>95</v>
      </c>
      <c r="U96">
        <v>19962.246203181487</v>
      </c>
      <c r="V96">
        <v>8.3487813783072831</v>
      </c>
      <c r="W96">
        <v>1133.7562479149767</v>
      </c>
      <c r="X96">
        <v>1.1171142402488212</v>
      </c>
      <c r="Y96">
        <v>1.1666027492470086</v>
      </c>
      <c r="Z96">
        <v>15375.170113109547</v>
      </c>
      <c r="AA96">
        <v>1907.2123505370178</v>
      </c>
      <c r="AB96">
        <v>936.92602970352732</v>
      </c>
      <c r="AC96">
        <v>1.1279819314156623</v>
      </c>
      <c r="AD96">
        <v>1.1002780255965137</v>
      </c>
      <c r="AE96">
        <v>2.015766549745412</v>
      </c>
      <c r="AF96">
        <v>0.10633957358606902</v>
      </c>
      <c r="AG96">
        <v>0.28047050185807115</v>
      </c>
      <c r="AI96">
        <v>47.166206742969855</v>
      </c>
      <c r="AJ96">
        <v>27.822981229039044</v>
      </c>
      <c r="AK96">
        <v>17.60663188894932</v>
      </c>
      <c r="AM96">
        <v>5.548781043237045</v>
      </c>
    </row>
    <row r="97" spans="20:39" x14ac:dyDescent="0.3">
      <c r="T97">
        <v>96</v>
      </c>
      <c r="U97">
        <v>19842.794534710643</v>
      </c>
      <c r="V97">
        <v>6.935603597778945</v>
      </c>
      <c r="W97">
        <v>1051.1288729156709</v>
      </c>
      <c r="X97">
        <v>1.056921764685582</v>
      </c>
      <c r="Y97">
        <v>1.2240848763395427</v>
      </c>
      <c r="Z97">
        <v>13543.179988938122</v>
      </c>
      <c r="AA97">
        <v>1484.075718773762</v>
      </c>
      <c r="AB97">
        <v>1285.8274905560004</v>
      </c>
      <c r="AC97">
        <v>1.1257119054945379</v>
      </c>
      <c r="AD97">
        <v>1.09672175480488</v>
      </c>
      <c r="AE97">
        <v>1.9989137028289869</v>
      </c>
      <c r="AF97">
        <v>9.7562826279567749E-2</v>
      </c>
      <c r="AG97">
        <v>0.27999128747514218</v>
      </c>
      <c r="AI97">
        <v>40.236660063291872</v>
      </c>
      <c r="AJ97">
        <v>31.225300082883727</v>
      </c>
      <c r="AK97">
        <v>11.859161409514641</v>
      </c>
      <c r="AM97">
        <v>5.5784594771281943</v>
      </c>
    </row>
    <row r="98" spans="20:39" x14ac:dyDescent="0.3">
      <c r="T98">
        <v>97</v>
      </c>
      <c r="U98">
        <v>20453.120431063478</v>
      </c>
      <c r="V98">
        <v>7.9448088065535369</v>
      </c>
      <c r="W98">
        <v>1038.7676490485837</v>
      </c>
      <c r="X98">
        <v>1.140883765177316</v>
      </c>
      <c r="Y98">
        <v>1.0900582416495754</v>
      </c>
      <c r="Z98">
        <v>14292.470760954166</v>
      </c>
      <c r="AA98">
        <v>1542.6585061929043</v>
      </c>
      <c r="AB98">
        <v>939.87722214095731</v>
      </c>
      <c r="AC98">
        <v>1.1117136255989195</v>
      </c>
      <c r="AD98">
        <v>1.1960665592213853</v>
      </c>
      <c r="AE98">
        <v>1.9959954818293726</v>
      </c>
      <c r="AF98">
        <v>9.9931974409393651E-2</v>
      </c>
      <c r="AG98">
        <v>0.22232368663151611</v>
      </c>
      <c r="AI98">
        <v>52.697731843969962</v>
      </c>
      <c r="AJ98">
        <v>30.535932659306081</v>
      </c>
      <c r="AK98">
        <v>31.343443502707899</v>
      </c>
      <c r="AM98">
        <v>5.6738114363113832</v>
      </c>
    </row>
    <row r="99" spans="20:39" x14ac:dyDescent="0.3">
      <c r="T99">
        <v>98</v>
      </c>
      <c r="U99">
        <v>19478.257805869016</v>
      </c>
      <c r="V99">
        <v>8.320207872442376</v>
      </c>
      <c r="W99">
        <v>949.23830580823255</v>
      </c>
      <c r="X99">
        <v>1.0980811439570732</v>
      </c>
      <c r="Y99">
        <v>1.035690704231045</v>
      </c>
      <c r="Z99">
        <v>13872.807376109236</v>
      </c>
      <c r="AA99">
        <v>1760.2633469092668</v>
      </c>
      <c r="AB99">
        <v>1016.7470350224127</v>
      </c>
      <c r="AC99">
        <v>1.1035146912753826</v>
      </c>
      <c r="AD99">
        <v>1.0759374560895263</v>
      </c>
      <c r="AE99">
        <v>1.9947424850442548</v>
      </c>
      <c r="AF99">
        <v>9.4763248311000955E-2</v>
      </c>
      <c r="AG99">
        <v>0.27708480220619808</v>
      </c>
      <c r="AI99">
        <v>46.381900367643929</v>
      </c>
      <c r="AJ99">
        <v>33.509786682790455</v>
      </c>
      <c r="AK99">
        <v>19.650294644769616</v>
      </c>
      <c r="AM99">
        <v>5.6445159503706392</v>
      </c>
    </row>
    <row r="100" spans="20:39" x14ac:dyDescent="0.3">
      <c r="T100">
        <v>99</v>
      </c>
      <c r="U100">
        <v>22540.467777102909</v>
      </c>
      <c r="V100">
        <v>9.3927454889068684</v>
      </c>
      <c r="W100">
        <v>1084.9925516794028</v>
      </c>
      <c r="X100">
        <v>1.1021743658404353</v>
      </c>
      <c r="Y100">
        <v>1.0306314429273309</v>
      </c>
      <c r="Z100">
        <v>14140.71952786855</v>
      </c>
      <c r="AA100">
        <v>1907.0149949847064</v>
      </c>
      <c r="AB100">
        <v>1387.1875544319926</v>
      </c>
      <c r="AC100">
        <v>1.1129294719708931</v>
      </c>
      <c r="AD100">
        <v>1.1146186761220165</v>
      </c>
      <c r="AE100">
        <v>1.9891583483453947</v>
      </c>
      <c r="AF100">
        <v>9.3177187020277205E-2</v>
      </c>
      <c r="AG100">
        <v>0.30535540212225265</v>
      </c>
      <c r="AI100">
        <v>44.140771089297836</v>
      </c>
      <c r="AJ100">
        <v>22.671666879173735</v>
      </c>
      <c r="AK100">
        <v>14.658705527197199</v>
      </c>
      <c r="AM100">
        <v>5.6395555422239347</v>
      </c>
    </row>
    <row r="101" spans="20:39" x14ac:dyDescent="0.3">
      <c r="T101">
        <v>100</v>
      </c>
      <c r="U101">
        <v>21698.733640610066</v>
      </c>
      <c r="V101">
        <v>7.754167917198445</v>
      </c>
      <c r="W101">
        <v>1033.7442276502004</v>
      </c>
      <c r="X101">
        <v>1.1094759803269956</v>
      </c>
      <c r="Y101">
        <v>1.0672933700925498</v>
      </c>
      <c r="Z101">
        <v>14941.739614928758</v>
      </c>
      <c r="AA101">
        <v>2068.2899737221264</v>
      </c>
      <c r="AB101">
        <v>1115.2993489396067</v>
      </c>
      <c r="AC101">
        <v>1.097474141315645</v>
      </c>
      <c r="AD101">
        <v>1.0997298999398764</v>
      </c>
      <c r="AE101">
        <v>2.0133348591233204</v>
      </c>
      <c r="AF101">
        <v>9.8705517271019699E-2</v>
      </c>
      <c r="AG101">
        <v>0.30067928825941381</v>
      </c>
      <c r="AI101">
        <v>45.972643177749404</v>
      </c>
      <c r="AJ101">
        <v>33.339528038270629</v>
      </c>
      <c r="AK101">
        <v>22.238869166171114</v>
      </c>
      <c r="AM101">
        <v>5.6164367377639621</v>
      </c>
    </row>
    <row r="102" spans="20:39" x14ac:dyDescent="0.3">
      <c r="T102">
        <v>101</v>
      </c>
      <c r="U102">
        <v>19576.419173145005</v>
      </c>
      <c r="V102">
        <v>8.0040470852618775</v>
      </c>
      <c r="W102">
        <v>1108.3877373647119</v>
      </c>
      <c r="X102">
        <v>1.1507056284910975</v>
      </c>
      <c r="Y102">
        <v>1.0289627238218428</v>
      </c>
      <c r="Z102">
        <v>13225.792896338262</v>
      </c>
      <c r="AA102">
        <v>2106.5537596971944</v>
      </c>
      <c r="AB102">
        <v>1069.3209278623565</v>
      </c>
      <c r="AC102">
        <v>1.0848033367418692</v>
      </c>
      <c r="AD102">
        <v>1.143314537196227</v>
      </c>
      <c r="AE102">
        <v>1.9838448530406112</v>
      </c>
      <c r="AF102">
        <v>8.843664021649178E-2</v>
      </c>
      <c r="AG102">
        <v>0.37578659588798441</v>
      </c>
      <c r="AI102">
        <v>46.832890432306925</v>
      </c>
      <c r="AJ102">
        <v>23.667897869638644</v>
      </c>
      <c r="AK102">
        <v>17.513937238971813</v>
      </c>
      <c r="AM102">
        <v>5.5928837520664123</v>
      </c>
    </row>
    <row r="103" spans="20:39" x14ac:dyDescent="0.3">
      <c r="T103">
        <v>102</v>
      </c>
      <c r="U103">
        <v>20359.991502570512</v>
      </c>
      <c r="V103">
        <v>7.6976038849707491</v>
      </c>
      <c r="W103">
        <v>1011.3758521232681</v>
      </c>
      <c r="X103">
        <v>1.1522353111433947</v>
      </c>
      <c r="Y103">
        <v>1.1000715779828012</v>
      </c>
      <c r="Z103">
        <v>15283.387184073545</v>
      </c>
      <c r="AA103">
        <v>1783.788504328905</v>
      </c>
      <c r="AB103">
        <v>1331.0821343332443</v>
      </c>
      <c r="AC103">
        <v>1.0886261701699824</v>
      </c>
      <c r="AD103">
        <v>1.1889765086979702</v>
      </c>
      <c r="AE103">
        <v>1.9952918813022344</v>
      </c>
      <c r="AF103">
        <v>8.6508296333382417E-2</v>
      </c>
      <c r="AG103">
        <v>0.3007021515471664</v>
      </c>
      <c r="AI103">
        <v>52.895980526526053</v>
      </c>
      <c r="AJ103">
        <v>24.943967493219198</v>
      </c>
      <c r="AK103">
        <v>22.880480708999329</v>
      </c>
      <c r="AM103">
        <v>5.5736401618616567</v>
      </c>
    </row>
    <row r="104" spans="20:39" x14ac:dyDescent="0.3">
      <c r="T104">
        <v>103</v>
      </c>
      <c r="U104">
        <v>19519.37930294672</v>
      </c>
      <c r="V104">
        <v>8.752469455483153</v>
      </c>
      <c r="W104">
        <v>943.76340724367947</v>
      </c>
      <c r="X104">
        <v>1.1126279916534243</v>
      </c>
      <c r="Y104">
        <v>1.2027794936624434</v>
      </c>
      <c r="Z104">
        <v>13425.852139195338</v>
      </c>
      <c r="AA104">
        <v>1643.8308547070492</v>
      </c>
      <c r="AB104">
        <v>1299.7385598247847</v>
      </c>
      <c r="AC104">
        <v>1.0746051551052835</v>
      </c>
      <c r="AD104">
        <v>1.0768359930589664</v>
      </c>
      <c r="AE104">
        <v>1.9989688273337771</v>
      </c>
      <c r="AF104">
        <v>9.3549017725824066E-2</v>
      </c>
      <c r="AG104">
        <v>0.36003233949649827</v>
      </c>
      <c r="AI104">
        <v>47.748624910517236</v>
      </c>
      <c r="AJ104">
        <v>28.276530451848547</v>
      </c>
      <c r="AK104">
        <v>17.428572107484193</v>
      </c>
      <c r="AM104">
        <v>5.5511752179929541</v>
      </c>
    </row>
    <row r="105" spans="20:39" x14ac:dyDescent="0.3">
      <c r="T105">
        <v>104</v>
      </c>
      <c r="U105">
        <v>21328.978438606086</v>
      </c>
      <c r="V105">
        <v>9.1585079611300362</v>
      </c>
      <c r="W105">
        <v>922.44543215246267</v>
      </c>
      <c r="X105">
        <v>1.1149311882235999</v>
      </c>
      <c r="Y105">
        <v>1.1509894425227281</v>
      </c>
      <c r="Z105">
        <v>14863.661643389056</v>
      </c>
      <c r="AA105">
        <v>1690.131355098398</v>
      </c>
      <c r="AB105">
        <v>1212.9472678314785</v>
      </c>
      <c r="AC105">
        <v>1.1228279511495609</v>
      </c>
      <c r="AD105">
        <v>1.0970202558944064</v>
      </c>
      <c r="AE105">
        <v>1.9724685916063309</v>
      </c>
      <c r="AF105">
        <v>0.10248033096337254</v>
      </c>
      <c r="AG105">
        <v>0.2735893394063782</v>
      </c>
      <c r="AI105">
        <v>47.077137860283521</v>
      </c>
      <c r="AJ105">
        <v>29.473571394232547</v>
      </c>
      <c r="AK105">
        <v>21.671538409755669</v>
      </c>
      <c r="AM105">
        <v>5.5272817112808106</v>
      </c>
    </row>
    <row r="106" spans="20:39" x14ac:dyDescent="0.3">
      <c r="T106">
        <v>105</v>
      </c>
      <c r="U106">
        <v>18776.646927099609</v>
      </c>
      <c r="V106">
        <v>7.8362094711830856</v>
      </c>
      <c r="W106">
        <v>951.13097673995981</v>
      </c>
      <c r="X106">
        <v>1.1043202755746113</v>
      </c>
      <c r="Y106">
        <v>1.078444129282955</v>
      </c>
      <c r="Z106">
        <v>14219.096467193693</v>
      </c>
      <c r="AA106">
        <v>2176.2565844992068</v>
      </c>
      <c r="AB106">
        <v>1250.9355512976572</v>
      </c>
      <c r="AC106">
        <v>1.1026513033620262</v>
      </c>
      <c r="AD106">
        <v>1.0838383339493909</v>
      </c>
      <c r="AE106">
        <v>1.9983912999033988</v>
      </c>
      <c r="AF106">
        <v>8.9927788106012582E-2</v>
      </c>
      <c r="AG106">
        <v>0.32873244138020979</v>
      </c>
      <c r="AI106">
        <v>54.476280224010409</v>
      </c>
      <c r="AJ106">
        <v>20.300379948428759</v>
      </c>
      <c r="AK106">
        <v>26.66844817391182</v>
      </c>
      <c r="AM106">
        <v>5.5413785541173279</v>
      </c>
    </row>
    <row r="107" spans="20:39" x14ac:dyDescent="0.3">
      <c r="T107">
        <v>106</v>
      </c>
      <c r="U107">
        <v>20684.527451092908</v>
      </c>
      <c r="V107">
        <v>7.6470034847472332</v>
      </c>
      <c r="W107">
        <v>1115.3559738786673</v>
      </c>
      <c r="X107">
        <v>1.1731674958700948</v>
      </c>
      <c r="Y107">
        <v>1.1388306671563488</v>
      </c>
      <c r="Z107">
        <v>14696.989605653973</v>
      </c>
      <c r="AA107">
        <v>2005.2745575545625</v>
      </c>
      <c r="AB107">
        <v>1086.6704789246107</v>
      </c>
      <c r="AC107">
        <v>1.1068105484696769</v>
      </c>
      <c r="AD107">
        <v>1.1372446628694912</v>
      </c>
      <c r="AE107">
        <v>1.9847424114938459</v>
      </c>
      <c r="AF107">
        <v>0.10254896374054462</v>
      </c>
      <c r="AG107">
        <v>0.33185993007062092</v>
      </c>
      <c r="AI107">
        <v>49.151387830102465</v>
      </c>
      <c r="AJ107">
        <v>25.215326282447123</v>
      </c>
      <c r="AK107">
        <v>33.082564422672959</v>
      </c>
      <c r="AM107">
        <v>5.6624572065705854</v>
      </c>
    </row>
    <row r="108" spans="20:39" x14ac:dyDescent="0.3">
      <c r="T108">
        <v>107</v>
      </c>
      <c r="U108">
        <v>19577.772016950174</v>
      </c>
      <c r="V108">
        <v>7.309630865555425</v>
      </c>
      <c r="W108">
        <v>1168.8044709940764</v>
      </c>
      <c r="X108">
        <v>1.1007811690864855</v>
      </c>
      <c r="Y108">
        <v>1.0006225542253997</v>
      </c>
      <c r="Z108">
        <v>12989.932770043633</v>
      </c>
      <c r="AA108">
        <v>2017.9120777869489</v>
      </c>
      <c r="AB108">
        <v>1214.6713523423234</v>
      </c>
      <c r="AC108">
        <v>1.115468440061687</v>
      </c>
      <c r="AD108">
        <v>1.1206847355921019</v>
      </c>
      <c r="AE108">
        <v>2.001227967317611</v>
      </c>
      <c r="AF108">
        <v>0.10657566306330069</v>
      </c>
      <c r="AG108">
        <v>0.31134002296229008</v>
      </c>
      <c r="AI108">
        <v>52.611798018493339</v>
      </c>
      <c r="AJ108">
        <v>36.730004918947635</v>
      </c>
      <c r="AK108">
        <v>17.447896976242181</v>
      </c>
      <c r="AM108">
        <v>5.6410246097650578</v>
      </c>
    </row>
    <row r="109" spans="20:39" x14ac:dyDescent="0.3">
      <c r="T109">
        <v>108</v>
      </c>
      <c r="U109">
        <v>19367.052427962622</v>
      </c>
      <c r="V109">
        <v>8.8294092346778896</v>
      </c>
      <c r="W109">
        <v>1082.6130873176687</v>
      </c>
      <c r="X109">
        <v>1.1355561716961855</v>
      </c>
      <c r="Y109">
        <v>1.2700049614160454</v>
      </c>
      <c r="Z109">
        <v>14132.997025198454</v>
      </c>
      <c r="AA109">
        <v>1837.4040020256023</v>
      </c>
      <c r="AB109">
        <v>1011.1887319072983</v>
      </c>
      <c r="AC109">
        <v>1.1028161227157243</v>
      </c>
      <c r="AD109">
        <v>1.1272848199380789</v>
      </c>
      <c r="AE109">
        <v>2.0033728877433323</v>
      </c>
      <c r="AF109">
        <v>9.802994363786946E-2</v>
      </c>
      <c r="AG109">
        <v>0.33829208814851625</v>
      </c>
      <c r="AI109">
        <v>43.929568488607003</v>
      </c>
      <c r="AJ109">
        <v>30.599181057087218</v>
      </c>
      <c r="AK109">
        <v>27.388553043995287</v>
      </c>
      <c r="AM109">
        <v>5.6598904731877751</v>
      </c>
    </row>
    <row r="110" spans="20:39" x14ac:dyDescent="0.3">
      <c r="T110">
        <v>109</v>
      </c>
      <c r="U110">
        <v>19335.20035136626</v>
      </c>
      <c r="V110">
        <v>7.3843950496132873</v>
      </c>
      <c r="W110">
        <v>1044.9987766686797</v>
      </c>
      <c r="X110">
        <v>1.0993683930676679</v>
      </c>
      <c r="Y110">
        <v>1.1268752039440897</v>
      </c>
      <c r="Z110">
        <v>13922.366629124761</v>
      </c>
      <c r="AA110">
        <v>1776.0444174186025</v>
      </c>
      <c r="AB110">
        <v>1225.3481348126199</v>
      </c>
      <c r="AC110">
        <v>1.1323599095264336</v>
      </c>
      <c r="AD110">
        <v>1.0242350351743932</v>
      </c>
      <c r="AE110">
        <v>1.9933116586196675</v>
      </c>
      <c r="AF110">
        <v>0.10945453691985629</v>
      </c>
      <c r="AG110">
        <v>0.3108770533857475</v>
      </c>
      <c r="AI110">
        <v>52.388155201806448</v>
      </c>
      <c r="AJ110">
        <v>28.678791909988366</v>
      </c>
      <c r="AK110">
        <v>25.023532981295023</v>
      </c>
      <c r="AM110">
        <v>5.6538821436078353</v>
      </c>
    </row>
    <row r="111" spans="20:39" x14ac:dyDescent="0.3">
      <c r="T111">
        <v>110</v>
      </c>
      <c r="U111">
        <v>20453.377957948549</v>
      </c>
      <c r="V111">
        <v>7.2912511116862815</v>
      </c>
      <c r="W111">
        <v>1070.3459661022939</v>
      </c>
      <c r="X111">
        <v>1.1417437472384242</v>
      </c>
      <c r="Y111">
        <v>1.0832271565949501</v>
      </c>
      <c r="Z111">
        <v>14358.180523519102</v>
      </c>
      <c r="AA111">
        <v>1984.4108766949646</v>
      </c>
      <c r="AB111">
        <v>983.95611739521644</v>
      </c>
      <c r="AC111">
        <v>1.0852731858936127</v>
      </c>
      <c r="AD111">
        <v>1.0407388823150427</v>
      </c>
      <c r="AE111">
        <v>1.9993270494582818</v>
      </c>
      <c r="AF111">
        <v>9.9311122760835341E-2</v>
      </c>
      <c r="AG111">
        <v>0.34040518882669124</v>
      </c>
      <c r="AI111">
        <v>45.839470458523131</v>
      </c>
      <c r="AJ111">
        <v>28.642834032791882</v>
      </c>
      <c r="AK111">
        <v>28.767079884177289</v>
      </c>
      <c r="AM111">
        <v>5.6885504713624879</v>
      </c>
    </row>
    <row r="112" spans="20:39" x14ac:dyDescent="0.3">
      <c r="T112">
        <v>111</v>
      </c>
      <c r="U112">
        <v>19538.702599607797</v>
      </c>
      <c r="V112">
        <v>9.292579557533859</v>
      </c>
      <c r="W112">
        <v>1230.0324075270157</v>
      </c>
      <c r="X112">
        <v>1.118608895021282</v>
      </c>
      <c r="Y112">
        <v>1.1694374877980527</v>
      </c>
      <c r="Z112">
        <v>14847.961481757451</v>
      </c>
      <c r="AA112">
        <v>1835.132384707777</v>
      </c>
      <c r="AB112">
        <v>1142.6577509639985</v>
      </c>
      <c r="AC112">
        <v>1.1396328793327062</v>
      </c>
      <c r="AD112">
        <v>1.1101862488124754</v>
      </c>
      <c r="AE112">
        <v>1.99621657115634</v>
      </c>
      <c r="AF112">
        <v>0.10048791166983038</v>
      </c>
      <c r="AG112">
        <v>0.29206798657080857</v>
      </c>
      <c r="AI112">
        <v>48.973842918951611</v>
      </c>
      <c r="AJ112">
        <v>27.063579181736468</v>
      </c>
      <c r="AK112">
        <v>25.446009553738534</v>
      </c>
      <c r="AM112">
        <v>5.6848500608570571</v>
      </c>
    </row>
    <row r="113" spans="20:39" x14ac:dyDescent="0.3">
      <c r="T113">
        <v>112</v>
      </c>
      <c r="U113">
        <v>19674.1311901384</v>
      </c>
      <c r="V113">
        <v>7.4218547205183505</v>
      </c>
      <c r="W113">
        <v>1060.4499156641546</v>
      </c>
      <c r="X113">
        <v>1.0822207366585763</v>
      </c>
      <c r="Y113">
        <v>1.0872465912019382</v>
      </c>
      <c r="Z113">
        <v>13984.337304783694</v>
      </c>
      <c r="AA113">
        <v>1769.5613828847681</v>
      </c>
      <c r="AB113">
        <v>1099.6397856917768</v>
      </c>
      <c r="AC113">
        <v>1.0843735192421882</v>
      </c>
      <c r="AD113">
        <v>1.1834539762585403</v>
      </c>
      <c r="AE113">
        <v>2.0163528629224587</v>
      </c>
      <c r="AF113">
        <v>0.1015796896709534</v>
      </c>
      <c r="AG113">
        <v>0.27596586075198076</v>
      </c>
      <c r="AI113">
        <v>46.456497376631035</v>
      </c>
      <c r="AJ113">
        <v>27.251897076782662</v>
      </c>
      <c r="AK113">
        <v>18.543036735629919</v>
      </c>
      <c r="AM113">
        <v>5.6613601630143462</v>
      </c>
    </row>
    <row r="114" spans="20:39" x14ac:dyDescent="0.3">
      <c r="T114">
        <v>113</v>
      </c>
      <c r="U114">
        <v>18732.974239799412</v>
      </c>
      <c r="V114">
        <v>8.6386764601379191</v>
      </c>
      <c r="W114">
        <v>1104.3134561794323</v>
      </c>
      <c r="X114">
        <v>1.13105293253397</v>
      </c>
      <c r="Y114">
        <v>1.069489424948141</v>
      </c>
      <c r="Z114">
        <v>13000.301345028844</v>
      </c>
      <c r="AA114">
        <v>1695.8540669487966</v>
      </c>
      <c r="AB114">
        <v>1205.3175744668874</v>
      </c>
      <c r="AC114">
        <v>1.1110297739070081</v>
      </c>
      <c r="AD114">
        <v>1.210470790053336</v>
      </c>
      <c r="AE114">
        <v>1.9987894395434971</v>
      </c>
      <c r="AF114">
        <v>8.4380091388323072E-2</v>
      </c>
      <c r="AG114">
        <v>0.28839766655077798</v>
      </c>
      <c r="AI114">
        <v>46.28681254084222</v>
      </c>
      <c r="AJ114">
        <v>28.285445879871933</v>
      </c>
      <c r="AK114">
        <v>23.693667979793808</v>
      </c>
      <c r="AM114">
        <v>5.6456642424718408</v>
      </c>
    </row>
    <row r="115" spans="20:39" x14ac:dyDescent="0.3">
      <c r="T115">
        <v>114</v>
      </c>
      <c r="U115">
        <v>21636.889696225531</v>
      </c>
      <c r="V115">
        <v>7.8535996115272599</v>
      </c>
      <c r="W115">
        <v>1092.4756103323684</v>
      </c>
      <c r="X115">
        <v>1.1176081058595413</v>
      </c>
      <c r="Y115">
        <v>1.2291780197473638</v>
      </c>
      <c r="Z115">
        <v>13944.545275905899</v>
      </c>
      <c r="AA115">
        <v>1594.3168559251603</v>
      </c>
      <c r="AB115">
        <v>1086.8072692044689</v>
      </c>
      <c r="AC115">
        <v>1.0931037571907563</v>
      </c>
      <c r="AD115">
        <v>1.0213152264138756</v>
      </c>
      <c r="AE115">
        <v>1.9986837053143631</v>
      </c>
      <c r="AF115">
        <v>9.7203221030239262E-2</v>
      </c>
      <c r="AG115">
        <v>0.30678676816185724</v>
      </c>
      <c r="AI115">
        <v>44.182137562861811</v>
      </c>
      <c r="AJ115">
        <v>24.439752126385937</v>
      </c>
      <c r="AK115">
        <v>13.892316866260938</v>
      </c>
      <c r="AM115">
        <v>5.6517860740585739</v>
      </c>
    </row>
    <row r="116" spans="20:39" x14ac:dyDescent="0.3">
      <c r="T116">
        <v>115</v>
      </c>
      <c r="U116">
        <v>19414.239353897745</v>
      </c>
      <c r="V116">
        <v>8.2537898320983114</v>
      </c>
      <c r="W116">
        <v>1100.3262581119927</v>
      </c>
      <c r="X116">
        <v>1.1143651559579466</v>
      </c>
      <c r="Y116">
        <v>0.98106168180334019</v>
      </c>
      <c r="Z116">
        <v>13457.411770849047</v>
      </c>
      <c r="AA116">
        <v>1581.6143821342364</v>
      </c>
      <c r="AB116">
        <v>1213.2917230724395</v>
      </c>
      <c r="AC116">
        <v>1.1083501884011433</v>
      </c>
      <c r="AD116">
        <v>1.1559546713341147</v>
      </c>
      <c r="AE116">
        <v>2.0064732738454332</v>
      </c>
      <c r="AF116">
        <v>0.10354474454318469</v>
      </c>
      <c r="AG116">
        <v>0.29092644099915926</v>
      </c>
      <c r="AI116">
        <v>44.107556585362637</v>
      </c>
      <c r="AJ116">
        <v>26.882980828208215</v>
      </c>
      <c r="AK116">
        <v>14.498052636540084</v>
      </c>
      <c r="AM116">
        <v>5.6516983840234678</v>
      </c>
    </row>
    <row r="117" spans="20:39" x14ac:dyDescent="0.3">
      <c r="T117">
        <v>116</v>
      </c>
      <c r="U117">
        <v>20035.521018816784</v>
      </c>
      <c r="V117">
        <v>8.4733809204071644</v>
      </c>
      <c r="W117">
        <v>1012.3040642582664</v>
      </c>
      <c r="X117">
        <v>1.1231460574010499</v>
      </c>
      <c r="Y117">
        <v>1.1005008933178699</v>
      </c>
      <c r="Z117">
        <v>13808.306190159912</v>
      </c>
      <c r="AA117">
        <v>1752.1392045686337</v>
      </c>
      <c r="AB117">
        <v>1067.2833925933555</v>
      </c>
      <c r="AC117">
        <v>1.1071968100268508</v>
      </c>
      <c r="AD117">
        <v>1.0647556391010617</v>
      </c>
      <c r="AE117">
        <v>1.9850101027669114</v>
      </c>
      <c r="AF117">
        <v>0.13032837622494731</v>
      </c>
      <c r="AG117">
        <v>0.31590540829900937</v>
      </c>
      <c r="AI117">
        <v>46.646270115398927</v>
      </c>
      <c r="AJ117">
        <v>22.879250211183631</v>
      </c>
      <c r="AK117">
        <v>14.780802969312795</v>
      </c>
      <c r="AM117">
        <v>5.6488276594638531</v>
      </c>
    </row>
    <row r="118" spans="20:39" x14ac:dyDescent="0.3">
      <c r="T118">
        <v>117</v>
      </c>
      <c r="U118">
        <v>20701.206710720431</v>
      </c>
      <c r="V118">
        <v>8.4976767782787981</v>
      </c>
      <c r="W118">
        <v>1020.7768913965047</v>
      </c>
      <c r="X118">
        <v>1.1157456643729673</v>
      </c>
      <c r="Y118">
        <v>1.1557331614710826</v>
      </c>
      <c r="Z118">
        <v>12901.409173268676</v>
      </c>
      <c r="AA118">
        <v>1686.4370871355682</v>
      </c>
      <c r="AB118">
        <v>1242.5887268062643</v>
      </c>
      <c r="AC118">
        <v>1.1321339016485137</v>
      </c>
      <c r="AD118">
        <v>1.0627245285577946</v>
      </c>
      <c r="AE118">
        <v>1.9970262645344001</v>
      </c>
      <c r="AF118">
        <v>9.3455418210087265E-2</v>
      </c>
      <c r="AG118">
        <v>0.31886111048934168</v>
      </c>
      <c r="AI118">
        <v>50.400936374128271</v>
      </c>
      <c r="AJ118">
        <v>25.340465000343062</v>
      </c>
      <c r="AK118">
        <v>25.869431830584201</v>
      </c>
      <c r="AM118">
        <v>5.649930282464287</v>
      </c>
    </row>
    <row r="119" spans="20:39" x14ac:dyDescent="0.3">
      <c r="T119">
        <v>118</v>
      </c>
      <c r="U119">
        <v>18976.247564675919</v>
      </c>
      <c r="V119">
        <v>8.3718381406939972</v>
      </c>
      <c r="W119">
        <v>898.56864517723386</v>
      </c>
      <c r="X119">
        <v>1.1015171333104188</v>
      </c>
      <c r="Y119">
        <v>1.0823577105139939</v>
      </c>
      <c r="Z119">
        <v>13725.127036207252</v>
      </c>
      <c r="AA119">
        <v>2021.141862485714</v>
      </c>
      <c r="AB119">
        <v>1515.2461846815988</v>
      </c>
      <c r="AC119">
        <v>1.1500194419116387</v>
      </c>
      <c r="AD119">
        <v>1.116244961551339</v>
      </c>
      <c r="AE119">
        <v>1.9964705885500833</v>
      </c>
      <c r="AF119">
        <v>0.10369376404569385</v>
      </c>
      <c r="AG119">
        <v>0.32760585631103684</v>
      </c>
      <c r="AI119">
        <v>41.32645996063988</v>
      </c>
      <c r="AJ119">
        <v>24.014838859418735</v>
      </c>
      <c r="AK119">
        <v>22.694314369554416</v>
      </c>
      <c r="AM119">
        <v>5.6307272703146349</v>
      </c>
    </row>
    <row r="120" spans="20:39" x14ac:dyDescent="0.3">
      <c r="T120">
        <v>119</v>
      </c>
      <c r="U120">
        <v>19443.56889923623</v>
      </c>
      <c r="V120">
        <v>7.7582602796075371</v>
      </c>
      <c r="W120">
        <v>1047.5589662044449</v>
      </c>
      <c r="X120">
        <v>1.1040825190660983</v>
      </c>
      <c r="Y120">
        <v>1.1606792569501594</v>
      </c>
      <c r="Z120">
        <v>13591.546324652403</v>
      </c>
      <c r="AA120">
        <v>1993.9003957434386</v>
      </c>
      <c r="AB120">
        <v>1036.3006899151292</v>
      </c>
      <c r="AC120">
        <v>1.0883178166539866</v>
      </c>
      <c r="AD120">
        <v>1.1974488263642811</v>
      </c>
      <c r="AE120">
        <v>1.9983011628687324</v>
      </c>
      <c r="AF120">
        <v>0.12261675453791965</v>
      </c>
      <c r="AG120">
        <v>0.34587353094515683</v>
      </c>
      <c r="AI120">
        <v>48.487997762569449</v>
      </c>
      <c r="AJ120">
        <v>22.039748039377265</v>
      </c>
      <c r="AK120">
        <v>22.762199020303271</v>
      </c>
      <c r="AM120">
        <v>5.6119652572462426</v>
      </c>
    </row>
    <row r="121" spans="20:39" x14ac:dyDescent="0.3">
      <c r="T121">
        <v>120</v>
      </c>
      <c r="U121">
        <v>21129.736458098967</v>
      </c>
      <c r="V121">
        <v>7.6843417596789418</v>
      </c>
      <c r="W121">
        <v>1022.9633625536601</v>
      </c>
      <c r="X121">
        <v>1.1078195611161932</v>
      </c>
      <c r="Y121">
        <v>1.1193881747919796</v>
      </c>
      <c r="Z121">
        <v>13678.705862019866</v>
      </c>
      <c r="AA121">
        <v>1720.094413302156</v>
      </c>
      <c r="AB121">
        <v>1056.5971788508805</v>
      </c>
      <c r="AC121">
        <v>1.1368507914865209</v>
      </c>
      <c r="AD121">
        <v>1.1333961673274455</v>
      </c>
      <c r="AE121">
        <v>1.9949888704424643</v>
      </c>
      <c r="AF121">
        <v>0.10452802841662565</v>
      </c>
      <c r="AG121">
        <v>0.30039007509601534</v>
      </c>
      <c r="AI121">
        <v>48.968718043837477</v>
      </c>
      <c r="AJ121">
        <v>31.074309828678299</v>
      </c>
      <c r="AK121">
        <v>20.186519746054024</v>
      </c>
      <c r="AM121">
        <v>5.5883362481677183</v>
      </c>
    </row>
    <row r="122" spans="20:39" x14ac:dyDescent="0.3">
      <c r="T122">
        <v>121</v>
      </c>
      <c r="U122">
        <v>20877.810970941719</v>
      </c>
      <c r="V122">
        <v>8.3462105227356691</v>
      </c>
      <c r="W122">
        <v>1074.683948503188</v>
      </c>
      <c r="X122">
        <v>1.128376446585563</v>
      </c>
      <c r="Y122">
        <v>1.0376359588420712</v>
      </c>
      <c r="Z122">
        <v>13129.888068619288</v>
      </c>
      <c r="AA122">
        <v>1821.8079650379443</v>
      </c>
      <c r="AB122">
        <v>1247.3580624498099</v>
      </c>
      <c r="AC122">
        <v>1.1218739041367753</v>
      </c>
      <c r="AD122">
        <v>1.0772324844559475</v>
      </c>
      <c r="AE122">
        <v>1.9946968992351024</v>
      </c>
      <c r="AF122">
        <v>9.716923154668472E-2</v>
      </c>
      <c r="AG122">
        <v>0.30932774412528985</v>
      </c>
      <c r="AI122">
        <v>50.889860562640699</v>
      </c>
      <c r="AJ122">
        <v>32.866814413522569</v>
      </c>
      <c r="AK122">
        <v>23.887391593028262</v>
      </c>
      <c r="AM122">
        <v>5.5752937096524642</v>
      </c>
    </row>
    <row r="123" spans="20:39" x14ac:dyDescent="0.3">
      <c r="T123">
        <v>122</v>
      </c>
      <c r="U123">
        <v>20369.073556538697</v>
      </c>
      <c r="V123">
        <v>6.8430926800726199</v>
      </c>
      <c r="W123">
        <v>1088.1008405256118</v>
      </c>
      <c r="X123">
        <v>1.1118636348360089</v>
      </c>
      <c r="Y123">
        <v>1.0548555326071014</v>
      </c>
      <c r="Z123">
        <v>14076.200526872602</v>
      </c>
      <c r="AA123">
        <v>2153.1862280962118</v>
      </c>
      <c r="AB123">
        <v>1266.4128045936764</v>
      </c>
      <c r="AC123">
        <v>1.0605063846799359</v>
      </c>
      <c r="AD123">
        <v>1.0999801401761597</v>
      </c>
      <c r="AE123">
        <v>1.9975860813504374</v>
      </c>
      <c r="AF123">
        <v>0.10450722129150637</v>
      </c>
      <c r="AG123">
        <v>0.33310219633697713</v>
      </c>
      <c r="AI123">
        <v>41.915501347856093</v>
      </c>
      <c r="AJ123">
        <v>22.682785472762472</v>
      </c>
      <c r="AK123">
        <v>23.222461998305793</v>
      </c>
      <c r="AM123">
        <v>5.5589748470639755</v>
      </c>
    </row>
    <row r="124" spans="20:39" x14ac:dyDescent="0.3">
      <c r="T124">
        <v>123</v>
      </c>
      <c r="U124">
        <v>22201.719091474199</v>
      </c>
      <c r="V124">
        <v>7.8309316084603156</v>
      </c>
      <c r="W124">
        <v>1097.364246035916</v>
      </c>
      <c r="X124">
        <v>1.1097635473794567</v>
      </c>
      <c r="Y124">
        <v>1.0571016836834743</v>
      </c>
      <c r="Z124">
        <v>14177.075874651598</v>
      </c>
      <c r="AA124">
        <v>1928.6371834511424</v>
      </c>
      <c r="AB124">
        <v>1319.8068452037467</v>
      </c>
      <c r="AC124">
        <v>1.1330469360939284</v>
      </c>
      <c r="AD124">
        <v>1.1555915101215237</v>
      </c>
      <c r="AE124">
        <v>1.9850982981600447</v>
      </c>
      <c r="AF124">
        <v>0.10767412244859589</v>
      </c>
      <c r="AG124">
        <v>0.26388753442998814</v>
      </c>
      <c r="AI124">
        <v>40.808191122569077</v>
      </c>
      <c r="AJ124">
        <v>30.038384681475616</v>
      </c>
      <c r="AK124">
        <v>23.171609197523061</v>
      </c>
      <c r="AM124">
        <v>5.5425450751084995</v>
      </c>
    </row>
    <row r="125" spans="20:39" x14ac:dyDescent="0.3">
      <c r="T125">
        <v>124</v>
      </c>
      <c r="U125">
        <v>20122.893265301554</v>
      </c>
      <c r="V125">
        <v>7.1275691900167821</v>
      </c>
      <c r="W125">
        <v>1042.4732077698077</v>
      </c>
      <c r="X125">
        <v>1.1338708221402576</v>
      </c>
      <c r="Y125">
        <v>1.2061000004683626</v>
      </c>
      <c r="Z125">
        <v>13038.946907276895</v>
      </c>
      <c r="AA125">
        <v>1768.972238829298</v>
      </c>
      <c r="AB125">
        <v>986.26523334315868</v>
      </c>
      <c r="AC125">
        <v>1.1031717182821521</v>
      </c>
      <c r="AD125">
        <v>1.0678630094054973</v>
      </c>
      <c r="AE125">
        <v>1.9951736058869289</v>
      </c>
      <c r="AF125">
        <v>9.5968505356616468E-2</v>
      </c>
      <c r="AG125">
        <v>0.29926179230578021</v>
      </c>
      <c r="AI125">
        <v>56.164400547007375</v>
      </c>
      <c r="AJ125">
        <v>22.284152862658797</v>
      </c>
      <c r="AK125">
        <v>27.563057787790033</v>
      </c>
      <c r="AM125">
        <v>5.5589776407014142</v>
      </c>
    </row>
    <row r="126" spans="20:39" x14ac:dyDescent="0.3">
      <c r="T126">
        <v>125</v>
      </c>
      <c r="U126">
        <v>19158.179227345307</v>
      </c>
      <c r="V126">
        <v>7.4460153462956606</v>
      </c>
      <c r="W126">
        <v>1024.4595008579804</v>
      </c>
      <c r="X126">
        <v>1.1032711297440916</v>
      </c>
      <c r="Y126">
        <v>1.1745044918839811</v>
      </c>
      <c r="Z126">
        <v>12761.905626046399</v>
      </c>
      <c r="AA126">
        <v>1877.6953416672511</v>
      </c>
      <c r="AB126">
        <v>1230.9830156810631</v>
      </c>
      <c r="AC126">
        <v>1.1096686289369093</v>
      </c>
      <c r="AD126">
        <v>1.0723941862324136</v>
      </c>
      <c r="AE126">
        <v>2.0208409818066562</v>
      </c>
      <c r="AF126">
        <v>0.10117788858620022</v>
      </c>
      <c r="AG126">
        <v>0.32142804162066974</v>
      </c>
      <c r="AI126">
        <v>48.370991871280914</v>
      </c>
      <c r="AJ126">
        <v>19.998033409223339</v>
      </c>
      <c r="AK126">
        <v>13.57029953728469</v>
      </c>
      <c r="AM126">
        <v>5.5691559655631391</v>
      </c>
    </row>
    <row r="127" spans="20:39" x14ac:dyDescent="0.3">
      <c r="T127">
        <v>126</v>
      </c>
      <c r="U127">
        <v>20040.444581504184</v>
      </c>
      <c r="V127">
        <v>7.6691581125394395</v>
      </c>
      <c r="W127">
        <v>1010.8261240176231</v>
      </c>
      <c r="X127">
        <v>1.0922487803544338</v>
      </c>
      <c r="Y127">
        <v>1.1013100576868318</v>
      </c>
      <c r="Z127">
        <v>13502.911624439381</v>
      </c>
      <c r="AA127">
        <v>1773.3661394375572</v>
      </c>
      <c r="AB127">
        <v>1145.6215888909971</v>
      </c>
      <c r="AC127">
        <v>1.1246242505420041</v>
      </c>
      <c r="AD127">
        <v>1.0923818131594203</v>
      </c>
      <c r="AE127">
        <v>1.9834075286433031</v>
      </c>
      <c r="AF127">
        <v>9.4885929856853859E-2</v>
      </c>
      <c r="AG127">
        <v>0.28700960069332448</v>
      </c>
      <c r="AI127">
        <v>42.104956093858782</v>
      </c>
      <c r="AJ127">
        <v>25.43629204014853</v>
      </c>
      <c r="AK127">
        <v>17.047041429559243</v>
      </c>
      <c r="AM127">
        <v>5.5541585520199694</v>
      </c>
    </row>
    <row r="128" spans="20:39" x14ac:dyDescent="0.3">
      <c r="T128">
        <v>127</v>
      </c>
      <c r="U128">
        <v>21020.785511539496</v>
      </c>
      <c r="V128">
        <v>7.6498296051822035</v>
      </c>
      <c r="W128">
        <v>1143.3115215706491</v>
      </c>
      <c r="X128">
        <v>1.1066583785737472</v>
      </c>
      <c r="Y128">
        <v>1.0992636435498369</v>
      </c>
      <c r="Z128">
        <v>13069.026529008293</v>
      </c>
      <c r="AA128">
        <v>1795.1726488890943</v>
      </c>
      <c r="AB128">
        <v>1386.7098667494226</v>
      </c>
      <c r="AC128">
        <v>1.1179805640710634</v>
      </c>
      <c r="AD128">
        <v>1.0592452732895183</v>
      </c>
      <c r="AE128">
        <v>2.028011803698242</v>
      </c>
      <c r="AF128">
        <v>9.9534985780493565E-2</v>
      </c>
      <c r="AG128">
        <v>0.35057419689076441</v>
      </c>
      <c r="AI128">
        <v>51.685056728569151</v>
      </c>
      <c r="AJ128">
        <v>23.409220009865432</v>
      </c>
      <c r="AK128">
        <v>18.502442273352564</v>
      </c>
      <c r="AM128">
        <v>5.5341789717905563</v>
      </c>
    </row>
    <row r="129" spans="20:39" x14ac:dyDescent="0.3">
      <c r="T129">
        <v>128</v>
      </c>
      <c r="U129">
        <v>21931.345784857251</v>
      </c>
      <c r="V129">
        <v>7.6509782305929681</v>
      </c>
      <c r="W129">
        <v>985.40964754302502</v>
      </c>
      <c r="X129">
        <v>1.1133976381086679</v>
      </c>
      <c r="Y129">
        <v>1.0559243829696721</v>
      </c>
      <c r="Z129">
        <v>13869.727517979098</v>
      </c>
      <c r="AA129">
        <v>1862.5570877192542</v>
      </c>
      <c r="AB129">
        <v>1273.670543282886</v>
      </c>
      <c r="AC129">
        <v>1.1247814261783362</v>
      </c>
      <c r="AD129">
        <v>1.0946347250463364</v>
      </c>
      <c r="AE129">
        <v>2.0025394154225293</v>
      </c>
      <c r="AF129">
        <v>0.113559713050328</v>
      </c>
      <c r="AG129">
        <v>0.38230819627538909</v>
      </c>
      <c r="AI129">
        <v>49.30900732075331</v>
      </c>
      <c r="AJ129">
        <v>29.063415891052269</v>
      </c>
      <c r="AK129">
        <v>21.370014056944004</v>
      </c>
      <c r="AM129">
        <v>5.5133033421998601</v>
      </c>
    </row>
    <row r="130" spans="20:39" x14ac:dyDescent="0.3">
      <c r="T130">
        <v>129</v>
      </c>
      <c r="U130">
        <v>20116.475749399906</v>
      </c>
      <c r="V130">
        <v>5.9486909409381816</v>
      </c>
      <c r="W130">
        <v>1087.8103384194628</v>
      </c>
      <c r="X130">
        <v>1.119806183495214</v>
      </c>
      <c r="Y130">
        <v>1.1423060117456922</v>
      </c>
      <c r="Z130">
        <v>14439.729326482558</v>
      </c>
      <c r="AA130">
        <v>1580.3247940591882</v>
      </c>
      <c r="AB130">
        <v>1285.5355691548568</v>
      </c>
      <c r="AC130">
        <v>1.1098488890171569</v>
      </c>
      <c r="AD130">
        <v>1.1798712167438141</v>
      </c>
      <c r="AE130">
        <v>1.9846672531632228</v>
      </c>
      <c r="AF130">
        <v>0.10678472308252336</v>
      </c>
      <c r="AG130">
        <v>0.32498730742363913</v>
      </c>
      <c r="AI130">
        <v>49.124426733973912</v>
      </c>
      <c r="AJ130">
        <v>23.780884864988867</v>
      </c>
      <c r="AK130">
        <v>27.511127934045465</v>
      </c>
      <c r="AM130">
        <v>5.5291395668781478</v>
      </c>
    </row>
    <row r="131" spans="20:39" x14ac:dyDescent="0.3">
      <c r="T131">
        <v>130</v>
      </c>
      <c r="U131">
        <v>20210.940133980086</v>
      </c>
      <c r="V131">
        <v>8.1197701060174641</v>
      </c>
      <c r="W131">
        <v>1030.504574679532</v>
      </c>
      <c r="X131">
        <v>1.1101624360853339</v>
      </c>
      <c r="Y131">
        <v>1.0724048034549492</v>
      </c>
      <c r="Z131">
        <v>15324.00718615732</v>
      </c>
      <c r="AA131">
        <v>1994.8052778420915</v>
      </c>
      <c r="AB131">
        <v>1137.503195227044</v>
      </c>
      <c r="AC131">
        <v>1.0996560119693362</v>
      </c>
      <c r="AD131">
        <v>1.2381779119374503</v>
      </c>
      <c r="AE131">
        <v>1.9966571526099248</v>
      </c>
      <c r="AF131">
        <v>8.5109271695478564E-2</v>
      </c>
      <c r="AG131">
        <v>0.29622919130674369</v>
      </c>
      <c r="AI131">
        <v>44.701579965272408</v>
      </c>
      <c r="AJ131">
        <v>20.132999184128735</v>
      </c>
      <c r="AK131">
        <v>23.592517897162939</v>
      </c>
      <c r="AM131">
        <v>5.5153504407334673</v>
      </c>
    </row>
    <row r="132" spans="20:39" x14ac:dyDescent="0.3">
      <c r="T132">
        <v>131</v>
      </c>
      <c r="U132">
        <v>20109.166404982116</v>
      </c>
      <c r="V132">
        <v>7.2946068523834153</v>
      </c>
      <c r="W132">
        <v>1012.1894080330461</v>
      </c>
      <c r="X132">
        <v>1.0842145959172536</v>
      </c>
      <c r="Y132">
        <v>1.0835542118708898</v>
      </c>
      <c r="Z132">
        <v>12456.209031859622</v>
      </c>
      <c r="AA132">
        <v>1603.9483742813827</v>
      </c>
      <c r="AB132">
        <v>1032.760761598744</v>
      </c>
      <c r="AC132">
        <v>1.1077470140137029</v>
      </c>
      <c r="AD132">
        <v>1.0570432953003379</v>
      </c>
      <c r="AE132">
        <v>1.9961587285106173</v>
      </c>
      <c r="AF132">
        <v>8.0457888093943067E-2</v>
      </c>
      <c r="AG132">
        <v>0.29318981696171259</v>
      </c>
      <c r="AI132">
        <v>48.036415358964796</v>
      </c>
      <c r="AJ132">
        <v>26.355623676195435</v>
      </c>
      <c r="AK132">
        <v>20.964720685997261</v>
      </c>
      <c r="AM132">
        <v>5.4944036599978556</v>
      </c>
    </row>
    <row r="133" spans="20:39" x14ac:dyDescent="0.3">
      <c r="T133">
        <v>132</v>
      </c>
      <c r="U133">
        <v>19954.029637313248</v>
      </c>
      <c r="V133">
        <v>8.1023995203430754</v>
      </c>
      <c r="W133">
        <v>1073.3558303822579</v>
      </c>
      <c r="X133">
        <v>1.0923294001675221</v>
      </c>
      <c r="Y133">
        <v>1.1034335646715607</v>
      </c>
      <c r="Z133">
        <v>14650.655208678594</v>
      </c>
      <c r="AA133">
        <v>2109.7740221360446</v>
      </c>
      <c r="AB133">
        <v>1379.4081965018675</v>
      </c>
      <c r="AC133">
        <v>1.092112845510713</v>
      </c>
      <c r="AD133">
        <v>1.1035865090625414</v>
      </c>
      <c r="AE133">
        <v>1.9761796943478072</v>
      </c>
      <c r="AF133">
        <v>8.6857022663955771E-2</v>
      </c>
      <c r="AG133">
        <v>0.28404897049062944</v>
      </c>
      <c r="AI133">
        <v>46.33466193977312</v>
      </c>
      <c r="AJ133">
        <v>21.100225739676354</v>
      </c>
      <c r="AK133">
        <v>15.069595036077395</v>
      </c>
      <c r="AM133">
        <v>5.492328240578928</v>
      </c>
    </row>
    <row r="134" spans="20:39" x14ac:dyDescent="0.3">
      <c r="T134">
        <v>133</v>
      </c>
      <c r="U134">
        <v>19853.254378279642</v>
      </c>
      <c r="V134">
        <v>8.8493375445069251</v>
      </c>
      <c r="W134">
        <v>1017.9224982193878</v>
      </c>
      <c r="X134">
        <v>1.1058618167526166</v>
      </c>
      <c r="Y134">
        <v>1.091698787352962</v>
      </c>
      <c r="Z134">
        <v>14404.246760018741</v>
      </c>
      <c r="AA134">
        <v>1659.2736204009391</v>
      </c>
      <c r="AB134">
        <v>1278.3520492120342</v>
      </c>
      <c r="AC134">
        <v>1.1232859142681886</v>
      </c>
      <c r="AD134">
        <v>1.1130804028709347</v>
      </c>
      <c r="AE134">
        <v>2.0037738242660246</v>
      </c>
      <c r="AF134">
        <v>0.11083454908995653</v>
      </c>
      <c r="AG134">
        <v>0.34621255711802046</v>
      </c>
      <c r="AI134">
        <v>46.591720555866026</v>
      </c>
      <c r="AJ134">
        <v>25.421458500543984</v>
      </c>
      <c r="AK134">
        <v>15.230014434822206</v>
      </c>
      <c r="AM134">
        <v>5.4888772878201753</v>
      </c>
    </row>
    <row r="135" spans="20:39" x14ac:dyDescent="0.3">
      <c r="T135">
        <v>134</v>
      </c>
      <c r="U135">
        <v>19624.525913575224</v>
      </c>
      <c r="V135">
        <v>7.8758091045266205</v>
      </c>
      <c r="W135">
        <v>1033.5667210556023</v>
      </c>
      <c r="X135">
        <v>1.0783516263570512</v>
      </c>
      <c r="Y135">
        <v>1.0744247083352496</v>
      </c>
      <c r="Z135">
        <v>13869.534000481146</v>
      </c>
      <c r="AA135">
        <v>1628.0874990443322</v>
      </c>
      <c r="AB135">
        <v>958.91300072618571</v>
      </c>
      <c r="AC135">
        <v>1.0812988649661828</v>
      </c>
      <c r="AD135">
        <v>1.0208185154238434</v>
      </c>
      <c r="AE135">
        <v>1.9999058570487633</v>
      </c>
      <c r="AF135">
        <v>9.6624229570577286E-2</v>
      </c>
      <c r="AG135">
        <v>0.29482294218386634</v>
      </c>
      <c r="AI135">
        <v>47.444063606909118</v>
      </c>
      <c r="AJ135">
        <v>32.58043409783383</v>
      </c>
      <c r="AK135">
        <v>20.546218541093303</v>
      </c>
      <c r="AM135">
        <v>5.4682728194573258</v>
      </c>
    </row>
    <row r="136" spans="20:39" x14ac:dyDescent="0.3">
      <c r="T136">
        <v>135</v>
      </c>
      <c r="U136">
        <v>20630.374308205704</v>
      </c>
      <c r="V136">
        <v>7.8750550239774375</v>
      </c>
      <c r="W136">
        <v>1030.9062576035742</v>
      </c>
      <c r="X136">
        <v>1.1300320957200907</v>
      </c>
      <c r="Y136">
        <v>1.1748909638265477</v>
      </c>
      <c r="Z136">
        <v>13435.921434623515</v>
      </c>
      <c r="AA136">
        <v>1451.8833944357959</v>
      </c>
      <c r="AB136">
        <v>1104.7899708928724</v>
      </c>
      <c r="AC136">
        <v>1.0928915147259326</v>
      </c>
      <c r="AD136">
        <v>1.1303562762067658</v>
      </c>
      <c r="AE136">
        <v>1.9920384428719731</v>
      </c>
      <c r="AF136">
        <v>0.10270517317742767</v>
      </c>
      <c r="AG136">
        <v>0.32231746661782396</v>
      </c>
      <c r="AI136">
        <v>48.226450815590958</v>
      </c>
      <c r="AJ136">
        <v>24.649294256825641</v>
      </c>
      <c r="AK136">
        <v>22.883525195556153</v>
      </c>
      <c r="AM136">
        <v>5.4526161148272925</v>
      </c>
    </row>
    <row r="137" spans="20:39" x14ac:dyDescent="0.3">
      <c r="T137">
        <v>136</v>
      </c>
      <c r="U137">
        <v>20014.982439111314</v>
      </c>
      <c r="V137">
        <v>7.4973250130982834</v>
      </c>
      <c r="W137">
        <v>1017.236962104186</v>
      </c>
      <c r="X137">
        <v>1.0720680701531764</v>
      </c>
      <c r="Y137">
        <v>1.2782924369122535</v>
      </c>
      <c r="Z137">
        <v>13747.948315161168</v>
      </c>
      <c r="AA137">
        <v>1945.6267573749763</v>
      </c>
      <c r="AB137">
        <v>1108.1736451702384</v>
      </c>
      <c r="AC137">
        <v>1.0883938532885327</v>
      </c>
      <c r="AD137">
        <v>1.1236091519625813</v>
      </c>
      <c r="AE137">
        <v>2.0020089100111877</v>
      </c>
      <c r="AF137">
        <v>0.10211186200003274</v>
      </c>
      <c r="AG137">
        <v>0.29983040090044616</v>
      </c>
      <c r="AI137">
        <v>47.15931342212177</v>
      </c>
      <c r="AJ137">
        <v>26.917737257430865</v>
      </c>
      <c r="AK137">
        <v>15.983683896684219</v>
      </c>
      <c r="AM137">
        <v>5.4446849272321849</v>
      </c>
    </row>
    <row r="138" spans="20:39" x14ac:dyDescent="0.3">
      <c r="T138">
        <v>137</v>
      </c>
      <c r="U138">
        <v>18038.576627052338</v>
      </c>
      <c r="V138">
        <v>8.2294423156819985</v>
      </c>
      <c r="W138">
        <v>1065.8470179923827</v>
      </c>
      <c r="X138">
        <v>1.1384397997604103</v>
      </c>
      <c r="Y138">
        <v>1.1152224118145802</v>
      </c>
      <c r="Z138">
        <v>14035.968220242135</v>
      </c>
      <c r="AA138">
        <v>1541.3692413947097</v>
      </c>
      <c r="AB138">
        <v>1114.7521924467344</v>
      </c>
      <c r="AC138">
        <v>1.0993961868205553</v>
      </c>
      <c r="AD138">
        <v>1.0929442308692314</v>
      </c>
      <c r="AE138">
        <v>1.9924103597835703</v>
      </c>
      <c r="AF138">
        <v>9.8797899566472752E-2</v>
      </c>
      <c r="AG138">
        <v>0.33255229488872684</v>
      </c>
      <c r="AI138">
        <v>53.167429119529459</v>
      </c>
      <c r="AJ138">
        <v>21.040315777951037</v>
      </c>
      <c r="AK138">
        <v>11.228684968998699</v>
      </c>
      <c r="AM138">
        <v>5.4787289670148578</v>
      </c>
    </row>
    <row r="139" spans="20:39" x14ac:dyDescent="0.3">
      <c r="T139">
        <v>138</v>
      </c>
      <c r="U139">
        <v>19384.734932344461</v>
      </c>
      <c r="V139">
        <v>7.970612826828873</v>
      </c>
      <c r="W139">
        <v>1112.1724780905975</v>
      </c>
      <c r="X139">
        <v>1.1353690176301228</v>
      </c>
      <c r="Y139">
        <v>1.1100594518164701</v>
      </c>
      <c r="Z139">
        <v>13428.46205598947</v>
      </c>
      <c r="AA139">
        <v>1787.7123754386735</v>
      </c>
      <c r="AB139">
        <v>1129.2142435952392</v>
      </c>
      <c r="AC139">
        <v>1.1402123429254292</v>
      </c>
      <c r="AD139">
        <v>1.1764134170332246</v>
      </c>
      <c r="AE139">
        <v>2.0053846444910444</v>
      </c>
      <c r="AF139">
        <v>9.5590857115090827E-2</v>
      </c>
      <c r="AG139">
        <v>0.30017964999501279</v>
      </c>
      <c r="AI139">
        <v>53.251666427962505</v>
      </c>
      <c r="AJ139">
        <v>27.824763104345589</v>
      </c>
      <c r="AK139">
        <v>20.263045235115211</v>
      </c>
      <c r="AM139">
        <v>5.4587050964175186</v>
      </c>
    </row>
    <row r="140" spans="20:39" x14ac:dyDescent="0.3">
      <c r="T140">
        <v>139</v>
      </c>
      <c r="U140">
        <v>21082.785944586485</v>
      </c>
      <c r="V140">
        <v>8.1029776022875684</v>
      </c>
      <c r="W140">
        <v>1090.1375085263378</v>
      </c>
      <c r="X140">
        <v>1.102548050527963</v>
      </c>
      <c r="Y140">
        <v>1.1452229607891615</v>
      </c>
      <c r="Z140">
        <v>14222.901240416153</v>
      </c>
      <c r="AA140">
        <v>1738.6951737259817</v>
      </c>
      <c r="AB140">
        <v>854.79798336216754</v>
      </c>
      <c r="AC140">
        <v>1.1231226656272377</v>
      </c>
      <c r="AD140">
        <v>1.1028087848939527</v>
      </c>
      <c r="AE140">
        <v>1.993636483018244</v>
      </c>
      <c r="AF140">
        <v>8.1181923195855862E-2</v>
      </c>
      <c r="AG140">
        <v>0.32546385249178506</v>
      </c>
      <c r="AI140">
        <v>47.165638061278052</v>
      </c>
      <c r="AJ140">
        <v>27.055076435144386</v>
      </c>
      <c r="AK140">
        <v>15.562558227083549</v>
      </c>
      <c r="AM140">
        <v>5.4528116895631671</v>
      </c>
    </row>
    <row r="141" spans="20:39" x14ac:dyDescent="0.3">
      <c r="T141">
        <v>140</v>
      </c>
      <c r="U141">
        <v>20091.709698078212</v>
      </c>
      <c r="V141">
        <v>7.9617713742627458</v>
      </c>
      <c r="W141">
        <v>1048.8740571546409</v>
      </c>
      <c r="X141">
        <v>1.1245321240659121</v>
      </c>
      <c r="Y141">
        <v>1.1064205932920868</v>
      </c>
      <c r="Z141">
        <v>14511.907348331917</v>
      </c>
      <c r="AA141">
        <v>2146.5822441313485</v>
      </c>
      <c r="AB141">
        <v>1174.1629875109923</v>
      </c>
      <c r="AC141">
        <v>1.105982384917211</v>
      </c>
      <c r="AD141">
        <v>1.0027510580543844</v>
      </c>
      <c r="AE141">
        <v>1.9926596965496874</v>
      </c>
      <c r="AF141">
        <v>0.11672179257787468</v>
      </c>
      <c r="AG141">
        <v>0.31995779552221199</v>
      </c>
      <c r="AI141">
        <v>50.269524450891183</v>
      </c>
      <c r="AJ141">
        <v>23.505284262565716</v>
      </c>
      <c r="AK141">
        <v>23.682318470869873</v>
      </c>
      <c r="AM141">
        <v>5.4414959181669653</v>
      </c>
    </row>
    <row r="142" spans="20:39" x14ac:dyDescent="0.3">
      <c r="T142">
        <v>141</v>
      </c>
      <c r="U142">
        <v>20038.218547236051</v>
      </c>
      <c r="V142">
        <v>7.2195907080021273</v>
      </c>
      <c r="W142">
        <v>991.21897106865163</v>
      </c>
      <c r="X142">
        <v>1.1573426134659459</v>
      </c>
      <c r="Y142">
        <v>1.152095579885311</v>
      </c>
      <c r="Z142">
        <v>14671.390103940719</v>
      </c>
      <c r="AA142">
        <v>1755.3414870885299</v>
      </c>
      <c r="AB142">
        <v>1205.1301828053311</v>
      </c>
      <c r="AC142">
        <v>1.1296059800425271</v>
      </c>
      <c r="AD142">
        <v>1.0942043728998818</v>
      </c>
      <c r="AE142">
        <v>1.9928075290741101</v>
      </c>
      <c r="AF142">
        <v>8.1523477434092106E-2</v>
      </c>
      <c r="AG142">
        <v>0.31643612630869328</v>
      </c>
      <c r="AI142">
        <v>49.9651117199829</v>
      </c>
      <c r="AJ142">
        <v>24.724312255621427</v>
      </c>
      <c r="AK142">
        <v>22.483029328407071</v>
      </c>
      <c r="AM142">
        <v>5.4255989369474538</v>
      </c>
    </row>
    <row r="143" spans="20:39" x14ac:dyDescent="0.3">
      <c r="T143">
        <v>142</v>
      </c>
      <c r="U143">
        <v>20661.338884737776</v>
      </c>
      <c r="V143">
        <v>7.6192349015603824</v>
      </c>
      <c r="W143">
        <v>957.48282717980305</v>
      </c>
      <c r="X143">
        <v>1.1038866914137762</v>
      </c>
      <c r="Y143">
        <v>1.0791555043399608</v>
      </c>
      <c r="Z143">
        <v>12798.057398502633</v>
      </c>
      <c r="AA143">
        <v>1664.1091408542266</v>
      </c>
      <c r="AB143">
        <v>1091.8949177350064</v>
      </c>
      <c r="AC143">
        <v>1.1024961436623775</v>
      </c>
      <c r="AD143">
        <v>1.0637621338713807</v>
      </c>
      <c r="AE143">
        <v>1.9886080116484328</v>
      </c>
      <c r="AF143">
        <v>7.0121732132554793E-2</v>
      </c>
      <c r="AG143">
        <v>0.26005185660981878</v>
      </c>
      <c r="AI143">
        <v>45.784305991784521</v>
      </c>
      <c r="AJ143">
        <v>26.111064803771004</v>
      </c>
      <c r="AK143">
        <v>33.681286625579084</v>
      </c>
      <c r="AM143">
        <v>5.5240760164796585</v>
      </c>
    </row>
    <row r="144" spans="20:39" x14ac:dyDescent="0.3">
      <c r="T144">
        <v>143</v>
      </c>
      <c r="U144">
        <v>21355.429966146585</v>
      </c>
      <c r="V144">
        <v>9.1229235778674127</v>
      </c>
      <c r="W144">
        <v>1020.3319820829586</v>
      </c>
      <c r="X144">
        <v>1.148319468084894</v>
      </c>
      <c r="Y144">
        <v>1.0711081599935199</v>
      </c>
      <c r="Z144">
        <v>13703.553963154625</v>
      </c>
      <c r="AA144">
        <v>1803.9266526366398</v>
      </c>
      <c r="AB144">
        <v>1101.5236802583406</v>
      </c>
      <c r="AC144">
        <v>1.1212620962517217</v>
      </c>
      <c r="AD144">
        <v>1.1488287229732106</v>
      </c>
      <c r="AE144">
        <v>2.0186335558722881</v>
      </c>
      <c r="AF144">
        <v>8.872593749325694E-2</v>
      </c>
      <c r="AG144">
        <v>0.31026105002690335</v>
      </c>
      <c r="AI144">
        <v>45.730440490913693</v>
      </c>
      <c r="AJ144">
        <v>27.313712023700148</v>
      </c>
      <c r="AK144">
        <v>29.632258780139569</v>
      </c>
      <c r="AM144">
        <v>5.5601355990024839</v>
      </c>
    </row>
    <row r="145" spans="20:39" x14ac:dyDescent="0.3">
      <c r="T145">
        <v>144</v>
      </c>
      <c r="U145">
        <v>21122.402740736863</v>
      </c>
      <c r="V145">
        <v>8.5669053253229546</v>
      </c>
      <c r="W145">
        <v>1082.2268944006871</v>
      </c>
      <c r="X145">
        <v>1.0904934020786479</v>
      </c>
      <c r="Y145">
        <v>1.1848154268520532</v>
      </c>
      <c r="Z145">
        <v>13672.469969545402</v>
      </c>
      <c r="AA145">
        <v>1992.0104386577832</v>
      </c>
      <c r="AB145">
        <v>1362.2558346752583</v>
      </c>
      <c r="AC145">
        <v>1.0757386189366585</v>
      </c>
      <c r="AD145">
        <v>1.1112260316129294</v>
      </c>
      <c r="AE145">
        <v>2.000577782720693</v>
      </c>
      <c r="AF145">
        <v>8.3989278569306255E-2</v>
      </c>
      <c r="AG145">
        <v>0.27793852625817655</v>
      </c>
      <c r="AI145">
        <v>51.815803102801993</v>
      </c>
      <c r="AJ145">
        <v>23.328808831430241</v>
      </c>
      <c r="AK145">
        <v>17.082882025546692</v>
      </c>
      <c r="AM145">
        <v>5.5472358710426235</v>
      </c>
    </row>
    <row r="146" spans="20:39" x14ac:dyDescent="0.3">
      <c r="T146">
        <v>145</v>
      </c>
      <c r="U146">
        <v>18881.713044530163</v>
      </c>
      <c r="V146">
        <v>7.6890354967580903</v>
      </c>
      <c r="W146">
        <v>1163.420777631871</v>
      </c>
      <c r="X146">
        <v>1.1360241746640365</v>
      </c>
      <c r="Y146">
        <v>1.0655832656542654</v>
      </c>
      <c r="Z146">
        <v>13202.876039253915</v>
      </c>
      <c r="AA146">
        <v>1857.4601644207139</v>
      </c>
      <c r="AB146">
        <v>1237.1021985783464</v>
      </c>
      <c r="AC146">
        <v>1.1324738877925276</v>
      </c>
      <c r="AD146">
        <v>1.1324600310709509</v>
      </c>
      <c r="AE146">
        <v>1.9922997770281585</v>
      </c>
      <c r="AF146">
        <v>9.3733378850527405E-2</v>
      </c>
      <c r="AG146">
        <v>0.27714175453291495</v>
      </c>
      <c r="AI146">
        <v>49.784075573693116</v>
      </c>
      <c r="AJ146">
        <v>31.804513877378234</v>
      </c>
      <c r="AK146">
        <v>25.852438026443686</v>
      </c>
      <c r="AM146">
        <v>5.5471351490683807</v>
      </c>
    </row>
    <row r="147" spans="20:39" x14ac:dyDescent="0.3">
      <c r="T147">
        <v>146</v>
      </c>
      <c r="U147">
        <v>19241.291127740493</v>
      </c>
      <c r="V147">
        <v>8.3428153643526404</v>
      </c>
      <c r="W147">
        <v>1116.6806489023622</v>
      </c>
      <c r="X147">
        <v>1.1173211825319105</v>
      </c>
      <c r="Y147">
        <v>1.130377889462383</v>
      </c>
      <c r="Z147">
        <v>15112.458871676314</v>
      </c>
      <c r="AA147">
        <v>1929.4655341723549</v>
      </c>
      <c r="AB147">
        <v>1244.0254086639079</v>
      </c>
      <c r="AC147">
        <v>1.1120250125797204</v>
      </c>
      <c r="AD147">
        <v>1.0756749036615125</v>
      </c>
      <c r="AE147">
        <v>2.0009853090908529</v>
      </c>
      <c r="AF147">
        <v>0.10935118221009654</v>
      </c>
      <c r="AG147">
        <v>0.30465912005676771</v>
      </c>
      <c r="AI147">
        <v>49.124746159441294</v>
      </c>
      <c r="AJ147">
        <v>30.319222760146388</v>
      </c>
      <c r="AK147">
        <v>24.474942433182076</v>
      </c>
      <c r="AM147">
        <v>5.5385621214206608</v>
      </c>
    </row>
    <row r="148" spans="20:39" x14ac:dyDescent="0.3">
      <c r="T148">
        <v>147</v>
      </c>
      <c r="U148">
        <v>20600.368984675712</v>
      </c>
      <c r="V148">
        <v>8.0409242675541055</v>
      </c>
      <c r="W148">
        <v>1111.1146039839291</v>
      </c>
      <c r="X148">
        <v>1.1151088465324546</v>
      </c>
      <c r="Y148">
        <v>1.1598436987722143</v>
      </c>
      <c r="Z148">
        <v>14142.822140294127</v>
      </c>
      <c r="AA148">
        <v>1962.6807386043445</v>
      </c>
      <c r="AB148">
        <v>1097.0145546206438</v>
      </c>
      <c r="AC148">
        <v>1.0986317554232572</v>
      </c>
      <c r="AD148">
        <v>1.1257964458161693</v>
      </c>
      <c r="AE148">
        <v>2.019268400275573</v>
      </c>
      <c r="AF148">
        <v>9.7992372387601168E-2</v>
      </c>
      <c r="AG148">
        <v>0.30836931557053548</v>
      </c>
      <c r="AI148">
        <v>40.286506966197251</v>
      </c>
      <c r="AJ148">
        <v>21.965554546084075</v>
      </c>
      <c r="AK148">
        <v>14.248841608927687</v>
      </c>
      <c r="AM148">
        <v>5.5425820122348766</v>
      </c>
    </row>
    <row r="149" spans="20:39" x14ac:dyDescent="0.3">
      <c r="T149">
        <v>148</v>
      </c>
      <c r="U149">
        <v>19945.52127365084</v>
      </c>
      <c r="V149">
        <v>9.3943242475182398</v>
      </c>
      <c r="W149">
        <v>987.48825299774433</v>
      </c>
      <c r="X149">
        <v>1.0437407596344106</v>
      </c>
      <c r="Y149">
        <v>1.1720846671253904</v>
      </c>
      <c r="Z149">
        <v>13428.096098617156</v>
      </c>
      <c r="AA149">
        <v>1730.6890752035126</v>
      </c>
      <c r="AB149">
        <v>1087.3925870568123</v>
      </c>
      <c r="AC149">
        <v>1.1062848345905125</v>
      </c>
      <c r="AD149">
        <v>1.0642626324845879</v>
      </c>
      <c r="AE149">
        <v>1.9965279520582238</v>
      </c>
      <c r="AF149">
        <v>8.8126000521335665E-2</v>
      </c>
      <c r="AG149">
        <v>0.3475165422622753</v>
      </c>
      <c r="AI149">
        <v>51.054634400057274</v>
      </c>
      <c r="AJ149">
        <v>28.290654139873517</v>
      </c>
      <c r="AK149">
        <v>29.247034199365359</v>
      </c>
      <c r="AM149">
        <v>5.5721651709427364</v>
      </c>
    </row>
    <row r="150" spans="20:39" x14ac:dyDescent="0.3">
      <c r="T150">
        <v>149</v>
      </c>
      <c r="U150">
        <v>19134.017355004424</v>
      </c>
      <c r="V150">
        <v>8.0888354060353667</v>
      </c>
      <c r="W150">
        <v>1084.1354862406081</v>
      </c>
      <c r="X150">
        <v>1.0884818284544591</v>
      </c>
      <c r="Y150">
        <v>1.1939480453351201</v>
      </c>
      <c r="Z150">
        <v>13747.838611211708</v>
      </c>
      <c r="AA150">
        <v>2029.7883773741153</v>
      </c>
      <c r="AB150">
        <v>1209.119036140165</v>
      </c>
      <c r="AC150">
        <v>1.133316397200218</v>
      </c>
      <c r="AD150">
        <v>1.1245067585884934</v>
      </c>
      <c r="AE150">
        <v>1.9891917479879009</v>
      </c>
      <c r="AF150">
        <v>9.1258589534964574E-2</v>
      </c>
      <c r="AG150">
        <v>0.27157356030590429</v>
      </c>
      <c r="AI150">
        <v>49.142665603856436</v>
      </c>
      <c r="AJ150">
        <v>28.679558303669108</v>
      </c>
      <c r="AK150">
        <v>23.386014911318931</v>
      </c>
      <c r="AM150">
        <v>5.5587448512259527</v>
      </c>
    </row>
    <row r="151" spans="20:39" x14ac:dyDescent="0.3">
      <c r="T151">
        <v>150</v>
      </c>
      <c r="U151">
        <v>18814.386635090552</v>
      </c>
      <c r="V151">
        <v>6.8857246581469926</v>
      </c>
      <c r="W151">
        <v>1063.7879689527674</v>
      </c>
      <c r="X151">
        <v>1.128046539135511</v>
      </c>
      <c r="Y151">
        <v>1.0644768962966837</v>
      </c>
      <c r="Z151">
        <v>14374.018497593179</v>
      </c>
      <c r="AA151">
        <v>1910.1121814242395</v>
      </c>
      <c r="AB151">
        <v>1143.5578780833025</v>
      </c>
      <c r="AC151">
        <v>1.1456418878814503</v>
      </c>
      <c r="AD151">
        <v>1.0880059467149621</v>
      </c>
      <c r="AE151">
        <v>1.9992764633324447</v>
      </c>
      <c r="AF151">
        <v>0.11752397354982676</v>
      </c>
      <c r="AG151">
        <v>0.24857558025281881</v>
      </c>
      <c r="AI151">
        <v>46.979258704210288</v>
      </c>
      <c r="AJ151">
        <v>29.379346587125884</v>
      </c>
      <c r="AK151">
        <v>15.982260341152305</v>
      </c>
      <c r="AM151">
        <v>5.5518217706374671</v>
      </c>
    </row>
    <row r="152" spans="20:39" x14ac:dyDescent="0.3">
      <c r="T152">
        <v>151</v>
      </c>
      <c r="U152">
        <v>19018.315084854701</v>
      </c>
      <c r="V152">
        <v>7.1668510580486249</v>
      </c>
      <c r="W152">
        <v>1059.619642147067</v>
      </c>
      <c r="X152">
        <v>1.0839514980646852</v>
      </c>
      <c r="Y152">
        <v>1.1593996706204097</v>
      </c>
      <c r="Z152">
        <v>14499.503754779194</v>
      </c>
      <c r="AA152">
        <v>1630.9664548805779</v>
      </c>
      <c r="AB152">
        <v>996.71247193027182</v>
      </c>
      <c r="AC152">
        <v>1.1239512568469299</v>
      </c>
      <c r="AD152">
        <v>1.106447963032537</v>
      </c>
      <c r="AE152">
        <v>1.9986528005574666</v>
      </c>
      <c r="AF152">
        <v>8.8887499371051532E-2</v>
      </c>
      <c r="AG152">
        <v>0.30871217377580928</v>
      </c>
      <c r="AI152">
        <v>70.715425806006436</v>
      </c>
      <c r="AJ152">
        <v>30.113486054037423</v>
      </c>
      <c r="AK152">
        <v>25.658800144469879</v>
      </c>
      <c r="AM152">
        <v>5.5499575099243756</v>
      </c>
    </row>
    <row r="153" spans="20:39" x14ac:dyDescent="0.3">
      <c r="T153">
        <v>152</v>
      </c>
      <c r="U153">
        <v>19646.674701971177</v>
      </c>
      <c r="V153">
        <v>7.955965292304584</v>
      </c>
      <c r="W153">
        <v>1127.2239020237364</v>
      </c>
      <c r="X153">
        <v>1.0881936453836718</v>
      </c>
      <c r="Y153">
        <v>1.0743515042634073</v>
      </c>
      <c r="Z153">
        <v>14545.044336881369</v>
      </c>
      <c r="AA153">
        <v>1972.6576339080154</v>
      </c>
      <c r="AB153">
        <v>1083.055341303675</v>
      </c>
      <c r="AC153">
        <v>1.1639193520179765</v>
      </c>
      <c r="AD153">
        <v>1.2231601744983205</v>
      </c>
      <c r="AE153">
        <v>2.0162060671703492</v>
      </c>
      <c r="AF153">
        <v>0.11667436479025198</v>
      </c>
      <c r="AG153">
        <v>0.31074439857850367</v>
      </c>
      <c r="AI153">
        <v>48.36151326620697</v>
      </c>
      <c r="AJ153">
        <v>29.983803323953463</v>
      </c>
      <c r="AK153">
        <v>26.798357797249086</v>
      </c>
      <c r="AM153">
        <v>5.5557549993052806</v>
      </c>
    </row>
    <row r="154" spans="20:39" x14ac:dyDescent="0.3">
      <c r="T154">
        <v>153</v>
      </c>
      <c r="U154">
        <v>19250.984286931121</v>
      </c>
      <c r="V154">
        <v>9.7559783975295264</v>
      </c>
      <c r="W154">
        <v>1045.9998112770093</v>
      </c>
      <c r="X154">
        <v>1.1225519360240279</v>
      </c>
      <c r="Y154">
        <v>1.0432111690332042</v>
      </c>
      <c r="Z154">
        <v>14634.734102620285</v>
      </c>
      <c r="AA154">
        <v>1697.7298606423083</v>
      </c>
      <c r="AB154">
        <v>1164.7361066628114</v>
      </c>
      <c r="AC154">
        <v>1.1131347948404344</v>
      </c>
      <c r="AD154">
        <v>1.1679165343714817</v>
      </c>
      <c r="AE154">
        <v>1.97886146272735</v>
      </c>
      <c r="AF154">
        <v>0.11290015971141848</v>
      </c>
      <c r="AG154">
        <v>0.28887907915250782</v>
      </c>
      <c r="AI154">
        <v>47.500420789297117</v>
      </c>
      <c r="AJ154">
        <v>27.159171521969395</v>
      </c>
      <c r="AK154">
        <v>20.440096095313152</v>
      </c>
      <c r="AM154">
        <v>5.5374494373147378</v>
      </c>
    </row>
    <row r="155" spans="20:39" x14ac:dyDescent="0.3">
      <c r="T155">
        <v>154</v>
      </c>
      <c r="U155">
        <v>19379.220805811048</v>
      </c>
      <c r="V155">
        <v>9.7907534284846029</v>
      </c>
      <c r="W155">
        <v>1042.8616327934415</v>
      </c>
      <c r="X155">
        <v>1.111774301774946</v>
      </c>
      <c r="Y155">
        <v>1.0903615482087377</v>
      </c>
      <c r="Z155">
        <v>14033.38361103842</v>
      </c>
      <c r="AA155">
        <v>1805.5993627075709</v>
      </c>
      <c r="AB155">
        <v>1245.4940864281843</v>
      </c>
      <c r="AC155">
        <v>1.163872541160077</v>
      </c>
      <c r="AD155">
        <v>1.2229153326742432</v>
      </c>
      <c r="AE155">
        <v>2.0104164048043596</v>
      </c>
      <c r="AF155">
        <v>7.3115991954840281E-2</v>
      </c>
      <c r="AG155">
        <v>0.33685695795466608</v>
      </c>
      <c r="AI155">
        <v>40.058301636267664</v>
      </c>
      <c r="AJ155">
        <v>25.605827500329553</v>
      </c>
      <c r="AK155">
        <v>17.981933317775766</v>
      </c>
      <c r="AM155">
        <v>5.5229154435366237</v>
      </c>
    </row>
    <row r="156" spans="20:39" x14ac:dyDescent="0.3">
      <c r="T156">
        <v>155</v>
      </c>
      <c r="U156">
        <v>20181.322773400574</v>
      </c>
      <c r="V156">
        <v>7.6726305284716574</v>
      </c>
      <c r="W156">
        <v>1078.1836338990593</v>
      </c>
      <c r="X156">
        <v>1.1109115931103148</v>
      </c>
      <c r="Y156">
        <v>1.1646780197402771</v>
      </c>
      <c r="Z156">
        <v>14995.921161757864</v>
      </c>
      <c r="AA156">
        <v>1964.8884806239639</v>
      </c>
      <c r="AB156">
        <v>1117.0647857244503</v>
      </c>
      <c r="AC156">
        <v>1.128083871415775</v>
      </c>
      <c r="AD156">
        <v>1.086885702461011</v>
      </c>
      <c r="AE156">
        <v>1.9992551037948527</v>
      </c>
      <c r="AF156">
        <v>0.10790418131961121</v>
      </c>
      <c r="AG156">
        <v>0.32847649417232422</v>
      </c>
      <c r="AI156">
        <v>50.760967527569868</v>
      </c>
      <c r="AJ156">
        <v>26.88892632752427</v>
      </c>
      <c r="AK156">
        <v>30.015181020805091</v>
      </c>
      <c r="AM156">
        <v>5.5584499465257347</v>
      </c>
    </row>
    <row r="157" spans="20:39" x14ac:dyDescent="0.3">
      <c r="T157">
        <v>156</v>
      </c>
      <c r="U157">
        <v>20396.934052776742</v>
      </c>
      <c r="V157">
        <v>7.6749262451833964</v>
      </c>
      <c r="W157">
        <v>1022.3143764581263</v>
      </c>
      <c r="X157">
        <v>1.0968399457408249</v>
      </c>
      <c r="Y157">
        <v>1.1239976488801977</v>
      </c>
      <c r="Z157">
        <v>13783.105146455093</v>
      </c>
      <c r="AA157">
        <v>1866.897930685004</v>
      </c>
      <c r="AB157">
        <v>1267.4952077800995</v>
      </c>
      <c r="AC157">
        <v>1.0962101124282826</v>
      </c>
      <c r="AD157">
        <v>1.1085239800671145</v>
      </c>
      <c r="AE157">
        <v>1.9961665537088877</v>
      </c>
      <c r="AF157">
        <v>0.10958717321783054</v>
      </c>
      <c r="AG157">
        <v>0.27671749666351497</v>
      </c>
      <c r="AI157">
        <v>46.616819945932654</v>
      </c>
      <c r="AJ157">
        <v>22.190642379210992</v>
      </c>
      <c r="AK157">
        <v>28.394622399228194</v>
      </c>
      <c r="AM157">
        <v>5.5764363516704147</v>
      </c>
    </row>
    <row r="158" spans="20:39" x14ac:dyDescent="0.3">
      <c r="T158">
        <v>157</v>
      </c>
      <c r="U158">
        <v>19618.596413114334</v>
      </c>
      <c r="V158">
        <v>8.6265887165892536</v>
      </c>
      <c r="W158">
        <v>1029.2677975116917</v>
      </c>
      <c r="X158">
        <v>1.127580627783189</v>
      </c>
      <c r="Y158">
        <v>1.0134342173892437</v>
      </c>
      <c r="Z158">
        <v>14839.384436056913</v>
      </c>
      <c r="AA158">
        <v>1618.1106122183478</v>
      </c>
      <c r="AB158">
        <v>1155.3296363359473</v>
      </c>
      <c r="AC158">
        <v>1.1172460370724238</v>
      </c>
      <c r="AD158">
        <v>1.1399902333091989</v>
      </c>
      <c r="AE158">
        <v>2.016086801694053</v>
      </c>
      <c r="AF158">
        <v>9.5620528662897192E-2</v>
      </c>
      <c r="AG158">
        <v>0.33888411780757427</v>
      </c>
      <c r="AI158">
        <v>48.260458465904975</v>
      </c>
      <c r="AJ158">
        <v>24.296998489869463</v>
      </c>
      <c r="AK158">
        <v>19.61251736197114</v>
      </c>
      <c r="AM158">
        <v>5.5590376634196526</v>
      </c>
    </row>
    <row r="159" spans="20:39" x14ac:dyDescent="0.3">
      <c r="T159">
        <v>158</v>
      </c>
      <c r="U159">
        <v>19735.485585839608</v>
      </c>
      <c r="V159">
        <v>7.8378105390419996</v>
      </c>
      <c r="W159">
        <v>1114.5736136206237</v>
      </c>
      <c r="X159">
        <v>1.1001785104727169</v>
      </c>
      <c r="Y159">
        <v>1.0658108282722183</v>
      </c>
      <c r="Z159">
        <v>13051.404183840186</v>
      </c>
      <c r="AA159">
        <v>1945.0489193901824</v>
      </c>
      <c r="AB159">
        <v>1070.1196390112095</v>
      </c>
      <c r="AC159">
        <v>1.1368759214227282</v>
      </c>
      <c r="AD159">
        <v>1.1579247832922026</v>
      </c>
      <c r="AE159">
        <v>2.0147489465358484</v>
      </c>
      <c r="AF159">
        <v>0.10589125857643809</v>
      </c>
      <c r="AG159">
        <v>0.31508018970392881</v>
      </c>
      <c r="AI159">
        <v>40.731882246618603</v>
      </c>
      <c r="AJ159">
        <v>27.396652369901446</v>
      </c>
      <c r="AK159">
        <v>26.775566721008712</v>
      </c>
      <c r="AM159">
        <v>5.5634394914078715</v>
      </c>
    </row>
    <row r="160" spans="20:39" x14ac:dyDescent="0.3">
      <c r="T160">
        <v>159</v>
      </c>
      <c r="U160">
        <v>20716.387059394045</v>
      </c>
      <c r="V160">
        <v>7.0221259943203433</v>
      </c>
      <c r="W160">
        <v>1103.9091976282589</v>
      </c>
      <c r="X160">
        <v>1.1285866043775592</v>
      </c>
      <c r="Y160">
        <v>1.2088905348427508</v>
      </c>
      <c r="Z160">
        <v>14865.798064967543</v>
      </c>
      <c r="AA160">
        <v>1887.1741403850283</v>
      </c>
      <c r="AB160">
        <v>1380.9773262866383</v>
      </c>
      <c r="AC160">
        <v>1.1427890442153923</v>
      </c>
      <c r="AD160">
        <v>1.1489650717333628</v>
      </c>
      <c r="AE160">
        <v>1.9956085843633977</v>
      </c>
      <c r="AF160">
        <v>8.6285726384620898E-2</v>
      </c>
      <c r="AG160">
        <v>0.3058988513179654</v>
      </c>
      <c r="AI160">
        <v>46.212740081104862</v>
      </c>
      <c r="AJ160">
        <v>24.621437543636304</v>
      </c>
      <c r="AK160">
        <v>18.133551404745461</v>
      </c>
      <c r="AM160">
        <v>5.549207351920411</v>
      </c>
    </row>
    <row r="161" spans="20:39" x14ac:dyDescent="0.3">
      <c r="T161">
        <v>160</v>
      </c>
      <c r="U161">
        <v>20525.37919552112</v>
      </c>
      <c r="V161">
        <v>7.2975330619353125</v>
      </c>
      <c r="W161">
        <v>1064.8573045009728</v>
      </c>
      <c r="X161">
        <v>1.0984766400684214</v>
      </c>
      <c r="Y161">
        <v>1.0369492599567567</v>
      </c>
      <c r="Z161">
        <v>14241.156604513733</v>
      </c>
      <c r="AA161">
        <v>1767.8586839525876</v>
      </c>
      <c r="AB161">
        <v>1077.6348914520022</v>
      </c>
      <c r="AC161">
        <v>1.0753395464413262</v>
      </c>
      <c r="AD161">
        <v>1.1499658652004421</v>
      </c>
      <c r="AE161">
        <v>1.995939237404466</v>
      </c>
      <c r="AF161">
        <v>7.9446246465339682E-2</v>
      </c>
      <c r="AG161">
        <v>0.4131477108637685</v>
      </c>
      <c r="AI161">
        <v>48.092342831797197</v>
      </c>
      <c r="AJ161">
        <v>30.235032065948996</v>
      </c>
      <c r="AK161">
        <v>22.102354678780515</v>
      </c>
      <c r="AM161">
        <v>5.5330596345326226</v>
      </c>
    </row>
    <row r="162" spans="20:39" x14ac:dyDescent="0.3">
      <c r="T162">
        <v>161</v>
      </c>
      <c r="U162">
        <v>18775.933576169169</v>
      </c>
      <c r="V162">
        <v>6.4301234575246733</v>
      </c>
      <c r="W162">
        <v>1037.3992753182267</v>
      </c>
      <c r="X162">
        <v>1.1341833957082081</v>
      </c>
      <c r="Y162">
        <v>1.1613480304103654</v>
      </c>
      <c r="Z162">
        <v>15551.83132496287</v>
      </c>
      <c r="AA162">
        <v>1541.2958835311717</v>
      </c>
      <c r="AB162">
        <v>1415.7125097287592</v>
      </c>
      <c r="AC162">
        <v>1.0930683828570578</v>
      </c>
      <c r="AD162">
        <v>0.97388901978395714</v>
      </c>
      <c r="AE162">
        <v>1.992536851210237</v>
      </c>
      <c r="AF162">
        <v>9.46943402402841E-2</v>
      </c>
      <c r="AG162">
        <v>0.36970709662024309</v>
      </c>
      <c r="AI162">
        <v>55.000855908543542</v>
      </c>
      <c r="AJ162">
        <v>22.490383273374121</v>
      </c>
      <c r="AK162">
        <v>41.113683899574895</v>
      </c>
      <c r="AM162">
        <v>5.7482957832341839</v>
      </c>
    </row>
    <row r="163" spans="20:39" x14ac:dyDescent="0.3">
      <c r="T163">
        <v>162</v>
      </c>
      <c r="U163">
        <v>19530.921584682354</v>
      </c>
      <c r="V163">
        <v>8.7247057395310694</v>
      </c>
      <c r="W163">
        <v>1028.2470633504165</v>
      </c>
      <c r="X163">
        <v>1.1379006786014325</v>
      </c>
      <c r="Y163">
        <v>1.1324901868791493</v>
      </c>
      <c r="Z163">
        <v>13837.752306753177</v>
      </c>
      <c r="AA163">
        <v>1629.1023076791478</v>
      </c>
      <c r="AB163">
        <v>1071.0287695112031</v>
      </c>
      <c r="AC163">
        <v>1.1178162944472936</v>
      </c>
      <c r="AD163">
        <v>1.1339615424796299</v>
      </c>
      <c r="AE163">
        <v>1.9962763279766818</v>
      </c>
      <c r="AF163">
        <v>8.807285817066525E-2</v>
      </c>
      <c r="AG163">
        <v>0.34416568764379396</v>
      </c>
      <c r="AI163">
        <v>48.599619274235408</v>
      </c>
      <c r="AJ163">
        <v>27.914368475560963</v>
      </c>
      <c r="AK163">
        <v>24.10262755627598</v>
      </c>
      <c r="AM163">
        <v>5.7366305034730978</v>
      </c>
    </row>
    <row r="164" spans="20:39" x14ac:dyDescent="0.3">
      <c r="T164">
        <v>163</v>
      </c>
      <c r="U164">
        <v>20938.307218034981</v>
      </c>
      <c r="V164">
        <v>6.8849068493664518</v>
      </c>
      <c r="W164">
        <v>1095.2477436377267</v>
      </c>
      <c r="X164">
        <v>1.0813828741039373</v>
      </c>
      <c r="Y164">
        <v>1.1657517843041971</v>
      </c>
      <c r="Z164">
        <v>14349.229925111218</v>
      </c>
      <c r="AA164">
        <v>1695.1210054982787</v>
      </c>
      <c r="AB164">
        <v>1082.4004649622041</v>
      </c>
      <c r="AC164">
        <v>1.123989735592144</v>
      </c>
      <c r="AD164">
        <v>1.1841537639498343</v>
      </c>
      <c r="AE164">
        <v>2.00570576398643</v>
      </c>
      <c r="AF164">
        <v>0.11229235289082629</v>
      </c>
      <c r="AG164">
        <v>0.27407006241157728</v>
      </c>
      <c r="AI164">
        <v>50.574903238588959</v>
      </c>
      <c r="AJ164">
        <v>22.465297162366443</v>
      </c>
      <c r="AK164">
        <v>19.555654954295427</v>
      </c>
      <c r="AM164">
        <v>5.7196319822433335</v>
      </c>
    </row>
    <row r="165" spans="20:39" x14ac:dyDescent="0.3">
      <c r="T165">
        <v>164</v>
      </c>
      <c r="U165">
        <v>20081.606346044722</v>
      </c>
      <c r="V165">
        <v>7.7091807352086619</v>
      </c>
      <c r="W165">
        <v>1019.8019076728038</v>
      </c>
      <c r="X165">
        <v>1.0915132989669949</v>
      </c>
      <c r="Y165">
        <v>1.1765484658561409</v>
      </c>
      <c r="Z165">
        <v>14681.716259143453</v>
      </c>
      <c r="AA165">
        <v>1987.1346756977516</v>
      </c>
      <c r="AB165">
        <v>1089.9071435243095</v>
      </c>
      <c r="AC165">
        <v>1.0961963032465847</v>
      </c>
      <c r="AD165">
        <v>1.0238103681779898</v>
      </c>
      <c r="AE165">
        <v>2.0039367382859492</v>
      </c>
      <c r="AF165">
        <v>0.10124141076779719</v>
      </c>
      <c r="AG165">
        <v>0.28770164938784898</v>
      </c>
      <c r="AI165">
        <v>52.810134922433704</v>
      </c>
      <c r="AJ165">
        <v>25.380257342851603</v>
      </c>
      <c r="AK165">
        <v>16.106659612785077</v>
      </c>
      <c r="AM165">
        <v>5.713422149458661</v>
      </c>
    </row>
    <row r="166" spans="20:39" x14ac:dyDescent="0.3">
      <c r="T166">
        <v>165</v>
      </c>
      <c r="U166">
        <v>20075.741400969597</v>
      </c>
      <c r="V166">
        <v>8.3205301455584166</v>
      </c>
      <c r="W166">
        <v>1056.2893812740756</v>
      </c>
      <c r="X166">
        <v>1.0625813691291699</v>
      </c>
      <c r="Y166">
        <v>1.1082059325469857</v>
      </c>
      <c r="Z166">
        <v>13575.296991818195</v>
      </c>
      <c r="AA166">
        <v>1581.2987191865436</v>
      </c>
      <c r="AB166">
        <v>1206.3966334206355</v>
      </c>
      <c r="AC166">
        <v>1.1317190562656185</v>
      </c>
      <c r="AD166">
        <v>1.0752788476623183</v>
      </c>
      <c r="AE166">
        <v>2.0064357611809212</v>
      </c>
      <c r="AF166">
        <v>0.10204193886833755</v>
      </c>
      <c r="AG166">
        <v>0.26947783843556694</v>
      </c>
      <c r="AI166">
        <v>47.608151067042463</v>
      </c>
      <c r="AJ166">
        <v>21.213950521146074</v>
      </c>
      <c r="AK166">
        <v>23.412273123178544</v>
      </c>
      <c r="AM166">
        <v>5.6999159686576126</v>
      </c>
    </row>
    <row r="167" spans="20:39" x14ac:dyDescent="0.3">
      <c r="T167">
        <v>166</v>
      </c>
      <c r="U167">
        <v>21387.874148763134</v>
      </c>
      <c r="V167">
        <v>8.6393019917055867</v>
      </c>
      <c r="W167">
        <v>1027.178538561895</v>
      </c>
      <c r="X167">
        <v>1.1189077247176453</v>
      </c>
      <c r="Y167">
        <v>1.1200414856226055</v>
      </c>
      <c r="Z167">
        <v>13620.241741124324</v>
      </c>
      <c r="AA167">
        <v>1677.4398431908778</v>
      </c>
      <c r="AB167">
        <v>1107.6603583691738</v>
      </c>
      <c r="AC167">
        <v>1.1181895137917688</v>
      </c>
      <c r="AD167">
        <v>1.0714749905522027</v>
      </c>
      <c r="AE167">
        <v>1.9936481913141302</v>
      </c>
      <c r="AF167">
        <v>9.9728385805095646E-2</v>
      </c>
      <c r="AG167">
        <v>0.30236687491626779</v>
      </c>
      <c r="AI167">
        <v>45.978257333545365</v>
      </c>
      <c r="AJ167">
        <v>26.895173995837549</v>
      </c>
      <c r="AK167">
        <v>22.418446929484109</v>
      </c>
      <c r="AM167">
        <v>5.6841693538505229</v>
      </c>
    </row>
    <row r="168" spans="20:39" x14ac:dyDescent="0.3">
      <c r="T168">
        <v>167</v>
      </c>
      <c r="U168">
        <v>20403.925500139841</v>
      </c>
      <c r="V168">
        <v>7.3307643837347598</v>
      </c>
      <c r="W168">
        <v>1006.4441466811701</v>
      </c>
      <c r="X168">
        <v>1.1546413750499342</v>
      </c>
      <c r="Y168">
        <v>1.0892770271887706</v>
      </c>
      <c r="Z168">
        <v>14644.522903235928</v>
      </c>
      <c r="AA168">
        <v>2243.2971776898275</v>
      </c>
      <c r="AB168">
        <v>1309.3792798333675</v>
      </c>
      <c r="AC168">
        <v>1.083021217503261</v>
      </c>
      <c r="AD168">
        <v>1.084554135679926</v>
      </c>
      <c r="AE168">
        <v>1.9906040556266786</v>
      </c>
      <c r="AF168">
        <v>0.10707963981330192</v>
      </c>
      <c r="AG168">
        <v>0.34697452628006809</v>
      </c>
      <c r="AI168">
        <v>44.900374210599068</v>
      </c>
      <c r="AJ168">
        <v>22.86699929825404</v>
      </c>
      <c r="AK168">
        <v>19.969837590138173</v>
      </c>
      <c r="AM168">
        <v>5.6673177643964108</v>
      </c>
    </row>
    <row r="169" spans="20:39" x14ac:dyDescent="0.3">
      <c r="T169">
        <v>168</v>
      </c>
      <c r="U169">
        <v>18856.378320292559</v>
      </c>
      <c r="V169">
        <v>7.387020007648009</v>
      </c>
      <c r="W169">
        <v>972.30731536939254</v>
      </c>
      <c r="X169">
        <v>1.148467427636338</v>
      </c>
      <c r="Y169">
        <v>1.1729950260612518</v>
      </c>
      <c r="Z169">
        <v>14681.378789649249</v>
      </c>
      <c r="AA169">
        <v>1951.9910270589326</v>
      </c>
      <c r="AB169">
        <v>1032.9353036204107</v>
      </c>
      <c r="AC169">
        <v>1.0884460930577655</v>
      </c>
      <c r="AD169">
        <v>1.0450855941394905</v>
      </c>
      <c r="AE169">
        <v>1.9982432670582126</v>
      </c>
      <c r="AF169">
        <v>9.6455177473274908E-2</v>
      </c>
      <c r="AG169">
        <v>0.3258876852378943</v>
      </c>
      <c r="AI169">
        <v>43.324540751543481</v>
      </c>
      <c r="AJ169">
        <v>27.560558277213119</v>
      </c>
      <c r="AK169">
        <v>18.749348496890409</v>
      </c>
      <c r="AM169">
        <v>5.6523548289975185</v>
      </c>
    </row>
    <row r="170" spans="20:39" x14ac:dyDescent="0.3">
      <c r="T170">
        <v>169</v>
      </c>
      <c r="U170">
        <v>20319.123383342623</v>
      </c>
      <c r="V170">
        <v>7.5159121627510821</v>
      </c>
      <c r="W170">
        <v>1061.8970895642015</v>
      </c>
      <c r="X170">
        <v>1.107589315595644</v>
      </c>
      <c r="Y170">
        <v>1.1275863225094342</v>
      </c>
      <c r="Z170">
        <v>14224.676834269278</v>
      </c>
      <c r="AA170">
        <v>1669.1516740424256</v>
      </c>
      <c r="AB170">
        <v>1151.2799615587564</v>
      </c>
      <c r="AC170">
        <v>1.1133875027303923</v>
      </c>
      <c r="AD170">
        <v>1.1878834394723845</v>
      </c>
      <c r="AE170">
        <v>1.9906505671139725</v>
      </c>
      <c r="AF170">
        <v>8.1134999593023657E-2</v>
      </c>
      <c r="AG170">
        <v>0.3110893533527555</v>
      </c>
      <c r="AI170">
        <v>49.130949784350413</v>
      </c>
      <c r="AJ170">
        <v>24.465396983631372</v>
      </c>
      <c r="AK170">
        <v>21.225326812116101</v>
      </c>
      <c r="AM170">
        <v>5.6356514198347636</v>
      </c>
    </row>
    <row r="171" spans="20:39" x14ac:dyDescent="0.3">
      <c r="T171">
        <v>170</v>
      </c>
      <c r="U171">
        <v>20116.257407606539</v>
      </c>
      <c r="V171">
        <v>9.1474605491516936</v>
      </c>
      <c r="W171">
        <v>997.93399003033505</v>
      </c>
      <c r="X171">
        <v>1.0916309655954064</v>
      </c>
      <c r="Y171">
        <v>1.2339111750209932</v>
      </c>
      <c r="Z171">
        <v>13795.655224481448</v>
      </c>
      <c r="AA171">
        <v>1776.5131198971794</v>
      </c>
      <c r="AB171">
        <v>936.82227613225609</v>
      </c>
      <c r="AC171">
        <v>1.0916048106186902</v>
      </c>
      <c r="AD171">
        <v>1.1531789035694564</v>
      </c>
      <c r="AE171">
        <v>1.9977180057785666</v>
      </c>
      <c r="AF171">
        <v>8.9942602762411242E-2</v>
      </c>
      <c r="AG171">
        <v>0.28996422928785404</v>
      </c>
      <c r="AI171">
        <v>42.105107939476348</v>
      </c>
      <c r="AJ171">
        <v>28.433077823622906</v>
      </c>
      <c r="AK171">
        <v>24.780589013645816</v>
      </c>
      <c r="AM171">
        <v>5.6276436944006214</v>
      </c>
    </row>
    <row r="172" spans="20:39" x14ac:dyDescent="0.3">
      <c r="T172">
        <v>171</v>
      </c>
      <c r="U172">
        <v>17570.436479339238</v>
      </c>
      <c r="V172">
        <v>7.833854129796439</v>
      </c>
      <c r="W172">
        <v>1026.4362106849203</v>
      </c>
      <c r="X172">
        <v>1.0865086881343065</v>
      </c>
      <c r="Y172">
        <v>1.0175119005151207</v>
      </c>
      <c r="Z172">
        <v>14589.243060164079</v>
      </c>
      <c r="AA172">
        <v>1779.6935797668007</v>
      </c>
      <c r="AB172">
        <v>1082.2860179713778</v>
      </c>
      <c r="AC172">
        <v>1.127367545874236</v>
      </c>
      <c r="AD172">
        <v>1.1327734600874366</v>
      </c>
      <c r="AE172">
        <v>2.0056209458650813</v>
      </c>
      <c r="AF172">
        <v>9.3435720736665839E-2</v>
      </c>
      <c r="AG172">
        <v>0.30570183814358759</v>
      </c>
      <c r="AI172">
        <v>49.275774471633163</v>
      </c>
      <c r="AJ172">
        <v>23.256457406153601</v>
      </c>
      <c r="AK172">
        <v>22.306435647351002</v>
      </c>
      <c r="AM172">
        <v>5.6123650003625771</v>
      </c>
    </row>
    <row r="173" spans="20:39" x14ac:dyDescent="0.3">
      <c r="T173">
        <v>172</v>
      </c>
      <c r="U173">
        <v>20186.15490331583</v>
      </c>
      <c r="V173">
        <v>9.0427581194825617</v>
      </c>
      <c r="W173">
        <v>997.57373400687402</v>
      </c>
      <c r="X173">
        <v>1.1462662416413354</v>
      </c>
      <c r="Y173">
        <v>1.11864493491423</v>
      </c>
      <c r="Z173">
        <v>13574.841007752972</v>
      </c>
      <c r="AA173">
        <v>1844.7046312782395</v>
      </c>
      <c r="AB173">
        <v>1195.5512301761476</v>
      </c>
      <c r="AC173">
        <v>1.1038276416019421</v>
      </c>
      <c r="AD173">
        <v>1.0589644963063893</v>
      </c>
      <c r="AE173">
        <v>1.9800859259281356</v>
      </c>
      <c r="AF173">
        <v>8.8173722022755557E-2</v>
      </c>
      <c r="AG173">
        <v>0.3125120259889404</v>
      </c>
      <c r="AI173">
        <v>45.677680247776465</v>
      </c>
      <c r="AJ173">
        <v>27.486643883269206</v>
      </c>
      <c r="AK173">
        <v>22.775153279744067</v>
      </c>
      <c r="AM173">
        <v>5.5980868525566372</v>
      </c>
    </row>
    <row r="174" spans="20:39" x14ac:dyDescent="0.3">
      <c r="T174">
        <v>173</v>
      </c>
      <c r="U174">
        <v>21468.474971056894</v>
      </c>
      <c r="V174">
        <v>7.2122756201844078</v>
      </c>
      <c r="W174">
        <v>996.6557969213311</v>
      </c>
      <c r="X174">
        <v>1.1378312786293452</v>
      </c>
      <c r="Y174">
        <v>1.0820131503550756</v>
      </c>
      <c r="Z174">
        <v>13381.854482683408</v>
      </c>
      <c r="AA174">
        <v>1226.0697999728045</v>
      </c>
      <c r="AB174">
        <v>1272.2824434949891</v>
      </c>
      <c r="AC174">
        <v>1.0942219206437509</v>
      </c>
      <c r="AD174">
        <v>1.1766862841317822</v>
      </c>
      <c r="AE174">
        <v>2.0055073786159396</v>
      </c>
      <c r="AF174">
        <v>0.10890151235839964</v>
      </c>
      <c r="AG174">
        <v>0.31770932466543605</v>
      </c>
      <c r="AI174">
        <v>53.294214071124628</v>
      </c>
      <c r="AJ174">
        <v>20.459225760256121</v>
      </c>
      <c r="AK174">
        <v>34.756757202369542</v>
      </c>
      <c r="AM174">
        <v>5.6824741095857307</v>
      </c>
    </row>
    <row r="175" spans="20:39" x14ac:dyDescent="0.3">
      <c r="T175">
        <v>174</v>
      </c>
      <c r="U175">
        <v>19529.384828411763</v>
      </c>
      <c r="V175">
        <v>8.4836426761561388</v>
      </c>
      <c r="W175">
        <v>1062.3107945230784</v>
      </c>
      <c r="X175">
        <v>1.11443265635699</v>
      </c>
      <c r="Y175">
        <v>1.1278743144381913</v>
      </c>
      <c r="Z175">
        <v>12807.589736085347</v>
      </c>
      <c r="AA175">
        <v>1657.3548181042845</v>
      </c>
      <c r="AB175">
        <v>1327.7625907860559</v>
      </c>
      <c r="AC175">
        <v>1.1186435778755326</v>
      </c>
      <c r="AD175">
        <v>1.2561686291951746</v>
      </c>
      <c r="AE175">
        <v>2.0160745370369968</v>
      </c>
      <c r="AF175">
        <v>8.8948778234015827E-2</v>
      </c>
      <c r="AG175">
        <v>0.29416673570399676</v>
      </c>
      <c r="AI175">
        <v>43.910199521528519</v>
      </c>
      <c r="AJ175">
        <v>24.352341625645579</v>
      </c>
      <c r="AK175">
        <v>24.9922681651794</v>
      </c>
      <c r="AM175">
        <v>5.6748047820727612</v>
      </c>
    </row>
    <row r="176" spans="20:39" x14ac:dyDescent="0.3">
      <c r="T176">
        <v>175</v>
      </c>
      <c r="U176">
        <v>20500.313704041731</v>
      </c>
      <c r="V176">
        <v>8.065341399870146</v>
      </c>
      <c r="W176">
        <v>997.50893323805064</v>
      </c>
      <c r="X176">
        <v>1.1222331721597034</v>
      </c>
      <c r="Y176">
        <v>1.1101432379846417</v>
      </c>
      <c r="Z176">
        <v>14399.523390441853</v>
      </c>
      <c r="AA176">
        <v>1636.351169020247</v>
      </c>
      <c r="AB176">
        <v>1184.8856519350709</v>
      </c>
      <c r="AC176">
        <v>1.1306271819147775</v>
      </c>
      <c r="AD176">
        <v>0.9941478592930193</v>
      </c>
      <c r="AE176">
        <v>2.0091108163499487</v>
      </c>
      <c r="AF176">
        <v>8.2067482531228281E-2</v>
      </c>
      <c r="AG176">
        <v>0.26668066435577353</v>
      </c>
      <c r="AI176">
        <v>50.026354925771415</v>
      </c>
      <c r="AJ176">
        <v>22.641209825512711</v>
      </c>
      <c r="AK176">
        <v>20.901078932118978</v>
      </c>
      <c r="AM176">
        <v>5.6584754796122718</v>
      </c>
    </row>
    <row r="177" spans="20:39" x14ac:dyDescent="0.3">
      <c r="T177">
        <v>176</v>
      </c>
      <c r="U177">
        <v>21281.249674800834</v>
      </c>
      <c r="V177">
        <v>6.596010609350234</v>
      </c>
      <c r="W177">
        <v>1070.4871719468731</v>
      </c>
      <c r="X177">
        <v>1.1034384497715828</v>
      </c>
      <c r="Y177">
        <v>1.1644355859501985</v>
      </c>
      <c r="Z177">
        <v>13069.091446565735</v>
      </c>
      <c r="AA177">
        <v>2088.2681423241193</v>
      </c>
      <c r="AB177">
        <v>1180.9058120495631</v>
      </c>
      <c r="AC177">
        <v>1.1183444860632663</v>
      </c>
      <c r="AD177">
        <v>1.1130175155278805</v>
      </c>
      <c r="AE177">
        <v>2.0068791972856155</v>
      </c>
      <c r="AF177">
        <v>0.10597246081035863</v>
      </c>
      <c r="AG177">
        <v>0.261000210646683</v>
      </c>
      <c r="AI177">
        <v>44.291908333596204</v>
      </c>
      <c r="AJ177">
        <v>31.722267287761905</v>
      </c>
      <c r="AK177">
        <v>12.620500854648796</v>
      </c>
      <c r="AM177">
        <v>5.6763200504383011</v>
      </c>
    </row>
    <row r="178" spans="20:39" x14ac:dyDescent="0.3">
      <c r="T178">
        <v>177</v>
      </c>
      <c r="U178">
        <v>20477.61929611089</v>
      </c>
      <c r="V178">
        <v>7.6230018777565807</v>
      </c>
      <c r="W178">
        <v>1022.9180218421976</v>
      </c>
      <c r="X178">
        <v>1.1171292685738217</v>
      </c>
      <c r="Y178">
        <v>1.1187829090774581</v>
      </c>
      <c r="Z178">
        <v>12797.837792405282</v>
      </c>
      <c r="AA178">
        <v>2036.5387799978002</v>
      </c>
      <c r="AB178">
        <v>1130.6777592007206</v>
      </c>
      <c r="AC178">
        <v>1.1199797687042381</v>
      </c>
      <c r="AD178">
        <v>1.130151232435245</v>
      </c>
      <c r="AE178">
        <v>2.0096088993991033</v>
      </c>
      <c r="AF178">
        <v>0.1025667367641884</v>
      </c>
      <c r="AG178">
        <v>0.25423345165186256</v>
      </c>
      <c r="AI178">
        <v>43.451920522010482</v>
      </c>
      <c r="AJ178">
        <v>34.302972038790728</v>
      </c>
      <c r="AK178">
        <v>29.746659487122734</v>
      </c>
      <c r="AM178">
        <v>5.69990963491645</v>
      </c>
    </row>
    <row r="179" spans="20:39" x14ac:dyDescent="0.3">
      <c r="T179">
        <v>178</v>
      </c>
      <c r="U179">
        <v>19029.236148682539</v>
      </c>
      <c r="V179">
        <v>7.6195615884691641</v>
      </c>
      <c r="W179">
        <v>1045.5156369862632</v>
      </c>
      <c r="X179">
        <v>1.1308385865696051</v>
      </c>
      <c r="Y179">
        <v>1.0843292889278588</v>
      </c>
      <c r="Z179">
        <v>14090.016987409286</v>
      </c>
      <c r="AA179">
        <v>1509.4696047063485</v>
      </c>
      <c r="AB179">
        <v>1168.8611759966384</v>
      </c>
      <c r="AC179">
        <v>1.1170402762225826</v>
      </c>
      <c r="AD179">
        <v>1.0992592390215388</v>
      </c>
      <c r="AE179">
        <v>2.0010568583552888</v>
      </c>
      <c r="AF179">
        <v>8.2773282352391231E-2</v>
      </c>
      <c r="AG179">
        <v>0.33249136325959167</v>
      </c>
      <c r="AI179">
        <v>39.107059801236254</v>
      </c>
      <c r="AJ179">
        <v>22.883035137100219</v>
      </c>
      <c r="AK179">
        <v>32.037122822749751</v>
      </c>
      <c r="AM179">
        <v>5.7452132001409977</v>
      </c>
    </row>
    <row r="180" spans="20:39" x14ac:dyDescent="0.3">
      <c r="T180">
        <v>179</v>
      </c>
      <c r="U180">
        <v>18616.675361019552</v>
      </c>
      <c r="V180">
        <v>7.4262318569195314</v>
      </c>
      <c r="W180">
        <v>1053.8499917279451</v>
      </c>
      <c r="X180">
        <v>1.1183447794633445</v>
      </c>
      <c r="Y180">
        <v>1.0249351400047773</v>
      </c>
      <c r="Z180">
        <v>12796.053376898579</v>
      </c>
      <c r="AA180">
        <v>1713.1853779149537</v>
      </c>
      <c r="AB180">
        <v>1219.6764850121272</v>
      </c>
      <c r="AC180">
        <v>1.1041230862461016</v>
      </c>
      <c r="AD180">
        <v>1.1570541776512531</v>
      </c>
      <c r="AE180">
        <v>1.9985320330589396</v>
      </c>
      <c r="AF180">
        <v>9.4547515504791638E-2</v>
      </c>
      <c r="AG180">
        <v>0.31397858382178884</v>
      </c>
      <c r="AI180">
        <v>53.02890009833397</v>
      </c>
      <c r="AJ180">
        <v>27.738182495117108</v>
      </c>
      <c r="AK180">
        <v>32.888521622584307</v>
      </c>
      <c r="AM180">
        <v>5.7984608426817523</v>
      </c>
    </row>
    <row r="181" spans="20:39" x14ac:dyDescent="0.3">
      <c r="T181">
        <v>180</v>
      </c>
      <c r="U181">
        <v>19193.614301441787</v>
      </c>
      <c r="V181">
        <v>9.0655698997819449</v>
      </c>
      <c r="W181">
        <v>966.40135972048267</v>
      </c>
      <c r="X181">
        <v>1.0816571180481807</v>
      </c>
      <c r="Y181">
        <v>1.1141490609046931</v>
      </c>
      <c r="Z181">
        <v>14329.849943689815</v>
      </c>
      <c r="AA181">
        <v>1707.5508463375377</v>
      </c>
      <c r="AB181">
        <v>1089.032376872869</v>
      </c>
      <c r="AC181">
        <v>1.1203637869475518</v>
      </c>
      <c r="AD181">
        <v>1.0823933839198163</v>
      </c>
      <c r="AE181">
        <v>1.9929258136320569</v>
      </c>
      <c r="AF181">
        <v>0.10349862637070373</v>
      </c>
      <c r="AG181">
        <v>0.2173129018632711</v>
      </c>
      <c r="AI181">
        <v>47.008269705813539</v>
      </c>
      <c r="AJ181">
        <v>22.438924321949433</v>
      </c>
      <c r="AK181">
        <v>28.916450116220677</v>
      </c>
      <c r="AM181">
        <v>5.8123612844500414</v>
      </c>
    </row>
    <row r="182" spans="20:39" x14ac:dyDescent="0.3">
      <c r="T182">
        <v>181</v>
      </c>
      <c r="U182">
        <v>20639.637171409031</v>
      </c>
      <c r="V182">
        <v>8.4608140688130948</v>
      </c>
      <c r="W182">
        <v>1038.0840233805877</v>
      </c>
      <c r="X182">
        <v>1.1013190159567887</v>
      </c>
      <c r="Y182">
        <v>1.1099512725324032</v>
      </c>
      <c r="Z182">
        <v>15084.030652770791</v>
      </c>
      <c r="AA182">
        <v>1790.4056770154743</v>
      </c>
      <c r="AB182">
        <v>1131.3212021924139</v>
      </c>
      <c r="AC182">
        <v>1.0614555806139072</v>
      </c>
      <c r="AD182">
        <v>1.2028797636104263</v>
      </c>
      <c r="AE182">
        <v>1.9839922933179264</v>
      </c>
      <c r="AF182">
        <v>0.11755194039494841</v>
      </c>
      <c r="AG182">
        <v>0.33087252303391501</v>
      </c>
      <c r="AI182">
        <v>51.508386213971022</v>
      </c>
      <c r="AJ182">
        <v>29.717821764242245</v>
      </c>
      <c r="AK182">
        <v>14.758721966066894</v>
      </c>
      <c r="AM182">
        <v>5.8149189479276062</v>
      </c>
    </row>
    <row r="183" spans="20:39" x14ac:dyDescent="0.3">
      <c r="T183">
        <v>182</v>
      </c>
      <c r="U183">
        <v>22050.579185830116</v>
      </c>
      <c r="V183">
        <v>7.6740305256410828</v>
      </c>
      <c r="W183">
        <v>1037.8834180565368</v>
      </c>
      <c r="X183">
        <v>1.1214805039499611</v>
      </c>
      <c r="Y183">
        <v>1.1005280884106681</v>
      </c>
      <c r="Z183">
        <v>14121.087868992479</v>
      </c>
      <c r="AA183">
        <v>1550.526609039716</v>
      </c>
      <c r="AB183">
        <v>1008.5409320222266</v>
      </c>
      <c r="AC183">
        <v>1.1108832320282711</v>
      </c>
      <c r="AD183">
        <v>0.98560229766523955</v>
      </c>
      <c r="AE183">
        <v>1.9893557432617266</v>
      </c>
      <c r="AF183">
        <v>9.6405898518105035E-2</v>
      </c>
      <c r="AG183">
        <v>0.31468652711861056</v>
      </c>
      <c r="AI183">
        <v>46.522801564434637</v>
      </c>
      <c r="AJ183">
        <v>25.46758841552812</v>
      </c>
      <c r="AK183">
        <v>22.108546172402303</v>
      </c>
      <c r="AM183">
        <v>5.7994183527266436</v>
      </c>
    </row>
    <row r="184" spans="20:39" x14ac:dyDescent="0.3">
      <c r="T184">
        <v>183</v>
      </c>
      <c r="U184">
        <v>20790.918414830343</v>
      </c>
      <c r="V184">
        <v>8.6900897882846042</v>
      </c>
      <c r="W184">
        <v>1107.2763311063368</v>
      </c>
      <c r="X184">
        <v>1.0694725759792776</v>
      </c>
      <c r="Y184">
        <v>1.1946635221240118</v>
      </c>
      <c r="Z184">
        <v>13686.823472046333</v>
      </c>
      <c r="AA184">
        <v>2062.0037609926048</v>
      </c>
      <c r="AB184">
        <v>1232.3533288317792</v>
      </c>
      <c r="AC184">
        <v>1.1132044335295159</v>
      </c>
      <c r="AD184">
        <v>1.0763295295069784</v>
      </c>
      <c r="AE184">
        <v>1.9863121688286827</v>
      </c>
      <c r="AF184">
        <v>8.6207780850660193E-2</v>
      </c>
      <c r="AG184">
        <v>0.28334098101401711</v>
      </c>
      <c r="AI184">
        <v>41.67309349963304</v>
      </c>
      <c r="AJ184">
        <v>26.187169370138243</v>
      </c>
      <c r="AK184">
        <v>28.897219442486048</v>
      </c>
      <c r="AM184">
        <v>5.8128268989930039</v>
      </c>
    </row>
    <row r="185" spans="20:39" x14ac:dyDescent="0.3">
      <c r="T185">
        <v>184</v>
      </c>
      <c r="U185">
        <v>19378.915806356024</v>
      </c>
      <c r="V185">
        <v>7.8364358977417847</v>
      </c>
      <c r="W185">
        <v>1067.6028627280903</v>
      </c>
      <c r="X185">
        <v>1.1106296302245504</v>
      </c>
      <c r="Y185">
        <v>1.0302718397449102</v>
      </c>
      <c r="Z185">
        <v>14155.666119862477</v>
      </c>
      <c r="AA185">
        <v>1616.7643547107816</v>
      </c>
      <c r="AB185">
        <v>1053.385950565015</v>
      </c>
      <c r="AC185">
        <v>1.1502271313327257</v>
      </c>
      <c r="AD185">
        <v>1.1175433243781192</v>
      </c>
      <c r="AE185">
        <v>1.9953592978541439</v>
      </c>
      <c r="AF185">
        <v>0.10683935505979288</v>
      </c>
      <c r="AG185">
        <v>0.33640231651767061</v>
      </c>
      <c r="AI185">
        <v>47.075488053010332</v>
      </c>
      <c r="AJ185">
        <v>23.707155808291862</v>
      </c>
      <c r="AK185">
        <v>13.157230856676431</v>
      </c>
      <c r="AM185">
        <v>5.8260267624665314</v>
      </c>
    </row>
    <row r="186" spans="20:39" x14ac:dyDescent="0.3">
      <c r="T186">
        <v>185</v>
      </c>
      <c r="U186">
        <v>20497.6320031344</v>
      </c>
      <c r="V186">
        <v>6.2421216060252114</v>
      </c>
      <c r="W186">
        <v>1084.373417884834</v>
      </c>
      <c r="X186">
        <v>1.1175375183328631</v>
      </c>
      <c r="Y186">
        <v>1.1317008913838178</v>
      </c>
      <c r="Z186">
        <v>14874.398014215369</v>
      </c>
      <c r="AA186">
        <v>1617.2503333343036</v>
      </c>
      <c r="AB186">
        <v>1102.3620619757451</v>
      </c>
      <c r="AC186">
        <v>1.1212851514595437</v>
      </c>
      <c r="AD186">
        <v>1.1074519934156142</v>
      </c>
      <c r="AE186">
        <v>2.0063132490098674</v>
      </c>
      <c r="AF186">
        <v>0.11369810474822768</v>
      </c>
      <c r="AG186">
        <v>0.31695451944604658</v>
      </c>
      <c r="AI186">
        <v>44.905262741325338</v>
      </c>
      <c r="AJ186">
        <v>29.756500229992664</v>
      </c>
      <c r="AK186">
        <v>12.580415191133994</v>
      </c>
      <c r="AM186">
        <v>5.8430847956669121</v>
      </c>
    </row>
    <row r="187" spans="20:39" x14ac:dyDescent="0.3">
      <c r="T187">
        <v>186</v>
      </c>
      <c r="U187">
        <v>20274.156787645981</v>
      </c>
      <c r="V187">
        <v>7.5697682390039152</v>
      </c>
      <c r="W187">
        <v>1030.4153720480792</v>
      </c>
      <c r="X187">
        <v>1.1076772279665323</v>
      </c>
      <c r="Y187">
        <v>1.1478416778418834</v>
      </c>
      <c r="Z187">
        <v>13632.547303825557</v>
      </c>
      <c r="AA187">
        <v>1837.6267367109228</v>
      </c>
      <c r="AB187">
        <v>1284.8836974720464</v>
      </c>
      <c r="AC187">
        <v>1.0903651253939062</v>
      </c>
      <c r="AD187">
        <v>1.1265850038079674</v>
      </c>
      <c r="AE187">
        <v>2.0022155795845755</v>
      </c>
      <c r="AF187">
        <v>0.12398298869116581</v>
      </c>
      <c r="AG187">
        <v>0.37073063886247143</v>
      </c>
      <c r="AI187">
        <v>40.855486817760543</v>
      </c>
      <c r="AJ187">
        <v>29.408730349091186</v>
      </c>
      <c r="AK187">
        <v>25.150030210692599</v>
      </c>
      <c r="AM187">
        <v>5.8353716357879444</v>
      </c>
    </row>
    <row r="188" spans="20:39" x14ac:dyDescent="0.3">
      <c r="T188">
        <v>187</v>
      </c>
      <c r="U188">
        <v>19722.169614241055</v>
      </c>
      <c r="V188">
        <v>8.6558300339978089</v>
      </c>
      <c r="W188">
        <v>1059.9030543935219</v>
      </c>
      <c r="X188">
        <v>1.0705388493354087</v>
      </c>
      <c r="Y188">
        <v>1.0971717524392226</v>
      </c>
      <c r="Z188">
        <v>14321.885722847375</v>
      </c>
      <c r="AA188">
        <v>1879.6803405831997</v>
      </c>
      <c r="AB188">
        <v>1329.8086159246936</v>
      </c>
      <c r="AC188">
        <v>1.0784539751667874</v>
      </c>
      <c r="AD188">
        <v>1.0414895910235298</v>
      </c>
      <c r="AE188">
        <v>2.0241001073553724</v>
      </c>
      <c r="AF188">
        <v>0.10805402504580708</v>
      </c>
      <c r="AG188">
        <v>0.3104747699058531</v>
      </c>
      <c r="AI188">
        <v>44.093221934725129</v>
      </c>
      <c r="AJ188">
        <v>24.481520317895669</v>
      </c>
      <c r="AK188">
        <v>16.327853740704914</v>
      </c>
      <c r="AM188">
        <v>5.8296019879884078</v>
      </c>
    </row>
    <row r="189" spans="20:39" x14ac:dyDescent="0.3">
      <c r="T189">
        <v>188</v>
      </c>
      <c r="U189">
        <v>18612.681072229308</v>
      </c>
      <c r="V189">
        <v>9.4526277882898775</v>
      </c>
      <c r="W189">
        <v>1050.7245325823478</v>
      </c>
      <c r="X189">
        <v>1.0861807719072569</v>
      </c>
      <c r="Y189">
        <v>1.0482888270530386</v>
      </c>
      <c r="Z189">
        <v>13312.636871185017</v>
      </c>
      <c r="AA189">
        <v>1874.8074015170644</v>
      </c>
      <c r="AB189">
        <v>1149.0212595817418</v>
      </c>
      <c r="AC189">
        <v>1.1602016329969107</v>
      </c>
      <c r="AD189">
        <v>1.0588097010537167</v>
      </c>
      <c r="AE189">
        <v>2.0072151340615298</v>
      </c>
      <c r="AF189">
        <v>0.10492672306912844</v>
      </c>
      <c r="AG189">
        <v>0.29160320728433387</v>
      </c>
      <c r="AI189">
        <v>47.653932150018733</v>
      </c>
      <c r="AJ189">
        <v>23.946336511939649</v>
      </c>
      <c r="AK189">
        <v>19.308229631280128</v>
      </c>
      <c r="AM189">
        <v>5.8152355487370695</v>
      </c>
    </row>
    <row r="190" spans="20:39" x14ac:dyDescent="0.3">
      <c r="T190">
        <v>189</v>
      </c>
      <c r="U190">
        <v>20436.589113431219</v>
      </c>
      <c r="V190">
        <v>9.0517491421321505</v>
      </c>
      <c r="W190">
        <v>1007.3621956332531</v>
      </c>
      <c r="X190">
        <v>1.1035416921801748</v>
      </c>
      <c r="Y190">
        <v>1.0640342134746423</v>
      </c>
      <c r="Z190">
        <v>14812.818707756787</v>
      </c>
      <c r="AA190">
        <v>1449.5244482111798</v>
      </c>
      <c r="AB190">
        <v>979.19813085346902</v>
      </c>
      <c r="AC190">
        <v>1.0972141146781305</v>
      </c>
      <c r="AD190">
        <v>1.115371826048162</v>
      </c>
      <c r="AE190">
        <v>2.0046528972000237</v>
      </c>
      <c r="AF190">
        <v>8.6711694748039497E-2</v>
      </c>
      <c r="AG190">
        <v>0.27337864196530748</v>
      </c>
      <c r="AI190">
        <v>43.63481975094421</v>
      </c>
      <c r="AJ190">
        <v>28.949415448503739</v>
      </c>
      <c r="AK190">
        <v>29.022849534226214</v>
      </c>
      <c r="AM190">
        <v>5.8294217488786355</v>
      </c>
    </row>
    <row r="191" spans="20:39" x14ac:dyDescent="0.3">
      <c r="T191">
        <v>190</v>
      </c>
      <c r="U191">
        <v>19907.982053309828</v>
      </c>
      <c r="V191">
        <v>8.92447825030888</v>
      </c>
      <c r="W191">
        <v>933.581476163395</v>
      </c>
      <c r="X191">
        <v>1.0983869755919837</v>
      </c>
      <c r="Y191">
        <v>1.192532814606353</v>
      </c>
      <c r="Z191">
        <v>13316.814769276376</v>
      </c>
      <c r="AA191">
        <v>1912.274786519675</v>
      </c>
      <c r="AB191">
        <v>1275.0788483758117</v>
      </c>
      <c r="AC191">
        <v>1.122933561329722</v>
      </c>
      <c r="AD191">
        <v>1.1011639772534749</v>
      </c>
      <c r="AE191">
        <v>1.9925273549941129</v>
      </c>
      <c r="AF191">
        <v>9.1423647853428616E-2</v>
      </c>
      <c r="AG191">
        <v>0.2547382398744033</v>
      </c>
      <c r="AI191">
        <v>44.305654868025883</v>
      </c>
      <c r="AJ191">
        <v>26.825349726547451</v>
      </c>
      <c r="AK191">
        <v>6.3238600868854142</v>
      </c>
      <c r="AM191">
        <v>5.9105336275019154</v>
      </c>
    </row>
    <row r="192" spans="20:39" x14ac:dyDescent="0.3">
      <c r="T192">
        <v>191</v>
      </c>
      <c r="U192">
        <v>19106.233767734262</v>
      </c>
      <c r="V192">
        <v>8.0614750418906276</v>
      </c>
      <c r="W192">
        <v>1064.0808738623318</v>
      </c>
      <c r="X192">
        <v>1.1001662302237638</v>
      </c>
      <c r="Y192">
        <v>1.1000013747845034</v>
      </c>
      <c r="Z192">
        <v>14660.034710357739</v>
      </c>
      <c r="AA192">
        <v>1904.9114349318418</v>
      </c>
      <c r="AB192">
        <v>1251.1297006866282</v>
      </c>
      <c r="AC192">
        <v>1.1063234048876338</v>
      </c>
      <c r="AD192">
        <v>1.1384356136030884</v>
      </c>
      <c r="AE192">
        <v>1.9848135384040049</v>
      </c>
      <c r="AF192">
        <v>0.12429348688746272</v>
      </c>
      <c r="AG192">
        <v>0.28498495363924264</v>
      </c>
      <c r="AI192">
        <v>44.615417596570602</v>
      </c>
      <c r="AJ192">
        <v>20.912778458307276</v>
      </c>
      <c r="AK192">
        <v>20.900602339857304</v>
      </c>
      <c r="AM192">
        <v>5.894959135672809</v>
      </c>
    </row>
    <row r="193" spans="20:39" x14ac:dyDescent="0.3">
      <c r="T193">
        <v>192</v>
      </c>
      <c r="U193">
        <v>20410.975760741188</v>
      </c>
      <c r="V193">
        <v>9.1449299841875131</v>
      </c>
      <c r="W193">
        <v>1052.0906432691304</v>
      </c>
      <c r="X193">
        <v>1.0845914793787259</v>
      </c>
      <c r="Y193">
        <v>1.1310685670926415</v>
      </c>
      <c r="Z193">
        <v>13552.740828929534</v>
      </c>
      <c r="AA193">
        <v>1835.545919243958</v>
      </c>
      <c r="AB193">
        <v>1205.8302659865649</v>
      </c>
      <c r="AC193">
        <v>1.1390270882291511</v>
      </c>
      <c r="AD193">
        <v>1.1435235100844543</v>
      </c>
      <c r="AE193">
        <v>2.003134828042247</v>
      </c>
      <c r="AF193">
        <v>0.10700961640310715</v>
      </c>
      <c r="AG193">
        <v>0.2287386489389221</v>
      </c>
      <c r="AI193">
        <v>49.582812545755445</v>
      </c>
      <c r="AJ193">
        <v>26.934071379940807</v>
      </c>
      <c r="AK193">
        <v>30.470462673450633</v>
      </c>
      <c r="AM193">
        <v>5.9198315113268469</v>
      </c>
    </row>
    <row r="194" spans="20:39" x14ac:dyDescent="0.3">
      <c r="T194">
        <v>193</v>
      </c>
      <c r="U194">
        <v>18880.033585881356</v>
      </c>
      <c r="V194">
        <v>8.488764224708099</v>
      </c>
      <c r="W194">
        <v>1014.574654849953</v>
      </c>
      <c r="X194">
        <v>1.0833513868974809</v>
      </c>
      <c r="Y194">
        <v>1.0876943008434854</v>
      </c>
      <c r="Z194">
        <v>14849.163533611878</v>
      </c>
      <c r="AA194">
        <v>1900.0893224524225</v>
      </c>
      <c r="AB194">
        <v>1339.5104529605414</v>
      </c>
      <c r="AC194">
        <v>1.1293250679675699</v>
      </c>
      <c r="AD194">
        <v>1.1247505844920871</v>
      </c>
      <c r="AE194">
        <v>1.9974511384518623</v>
      </c>
      <c r="AF194">
        <v>0.10573372308922108</v>
      </c>
      <c r="AG194">
        <v>0.31030866595440076</v>
      </c>
      <c r="AI194">
        <v>43.721995155069081</v>
      </c>
      <c r="AJ194">
        <v>21.085219413155222</v>
      </c>
      <c r="AK194">
        <v>17.162919374959287</v>
      </c>
      <c r="AM194">
        <v>5.9107255977631867</v>
      </c>
    </row>
    <row r="195" spans="20:39" x14ac:dyDescent="0.3">
      <c r="T195">
        <v>194</v>
      </c>
      <c r="U195">
        <v>19095.620490403348</v>
      </c>
      <c r="V195">
        <v>7.1582474242175831</v>
      </c>
      <c r="W195">
        <v>1019.1201165856558</v>
      </c>
      <c r="X195">
        <v>1.0916709671630753</v>
      </c>
      <c r="Y195">
        <v>1.2259593622851859</v>
      </c>
      <c r="Z195">
        <v>13569.319255358465</v>
      </c>
      <c r="AA195">
        <v>1949.4816380769407</v>
      </c>
      <c r="AB195">
        <v>1000.9887237600384</v>
      </c>
      <c r="AC195">
        <v>1.1295137996820555</v>
      </c>
      <c r="AD195">
        <v>1.1390995021017041</v>
      </c>
      <c r="AE195">
        <v>2.0039471326650142</v>
      </c>
      <c r="AF195">
        <v>9.5663745917821549E-2</v>
      </c>
      <c r="AG195">
        <v>0.26846000967070732</v>
      </c>
      <c r="AI195">
        <v>45.358872805016645</v>
      </c>
      <c r="AJ195">
        <v>23.568922150232364</v>
      </c>
      <c r="AK195">
        <v>29.998753396265279</v>
      </c>
      <c r="AM195">
        <v>5.9311387887576483</v>
      </c>
    </row>
    <row r="196" spans="20:39" x14ac:dyDescent="0.3">
      <c r="T196">
        <v>195</v>
      </c>
      <c r="U196">
        <v>20484.161581178196</v>
      </c>
      <c r="V196">
        <v>8.2077155534801687</v>
      </c>
      <c r="W196">
        <v>984.92526928463042</v>
      </c>
      <c r="X196">
        <v>1.1284880673060371</v>
      </c>
      <c r="Y196">
        <v>1.1476330707708875</v>
      </c>
      <c r="Z196">
        <v>13853.996427343429</v>
      </c>
      <c r="AA196">
        <v>1860.3419396161282</v>
      </c>
      <c r="AB196">
        <v>985.82555816961292</v>
      </c>
      <c r="AC196">
        <v>1.1013308957075416</v>
      </c>
      <c r="AD196">
        <v>1.0833371678267036</v>
      </c>
      <c r="AE196">
        <v>1.9947978311468195</v>
      </c>
      <c r="AF196">
        <v>0.10758155088241077</v>
      </c>
      <c r="AG196">
        <v>0.27479232467495973</v>
      </c>
      <c r="AI196">
        <v>49.277055426059299</v>
      </c>
      <c r="AJ196">
        <v>25.331595908892023</v>
      </c>
      <c r="AK196">
        <v>30.7893439327339</v>
      </c>
      <c r="AM196">
        <v>5.9573141107845364</v>
      </c>
    </row>
    <row r="197" spans="20:39" x14ac:dyDescent="0.3">
      <c r="T197">
        <v>196</v>
      </c>
      <c r="U197">
        <v>21990.044304034393</v>
      </c>
      <c r="V197">
        <v>7.5263567172787438</v>
      </c>
      <c r="W197">
        <v>986.29577161028112</v>
      </c>
      <c r="X197">
        <v>1.0933843642534415</v>
      </c>
      <c r="Y197">
        <v>1.0719954038237283</v>
      </c>
      <c r="Z197">
        <v>13418.688557536847</v>
      </c>
      <c r="AA197">
        <v>1755.0655052063373</v>
      </c>
      <c r="AB197">
        <v>1169.8847568072269</v>
      </c>
      <c r="AC197">
        <v>1.1173282891739538</v>
      </c>
      <c r="AD197">
        <v>1.1035461781156504</v>
      </c>
      <c r="AE197">
        <v>1.9927543946564799</v>
      </c>
      <c r="AF197">
        <v>0.10356049549957137</v>
      </c>
      <c r="AG197">
        <v>0.36563513581194679</v>
      </c>
      <c r="AI197">
        <v>43.292614282139034</v>
      </c>
      <c r="AJ197">
        <v>27.341906301058678</v>
      </c>
      <c r="AK197">
        <v>24.198213631811555</v>
      </c>
      <c r="AM197">
        <v>5.9463011010040621</v>
      </c>
    </row>
    <row r="198" spans="20:39" x14ac:dyDescent="0.3">
      <c r="T198">
        <v>197</v>
      </c>
      <c r="U198">
        <v>19962.165569054869</v>
      </c>
      <c r="V198">
        <v>8.5173982056737323</v>
      </c>
      <c r="W198">
        <v>1099.3748671946566</v>
      </c>
      <c r="X198">
        <v>1.1024654646946379</v>
      </c>
      <c r="Y198">
        <v>1.1599489527789191</v>
      </c>
      <c r="Z198">
        <v>13792.47399182443</v>
      </c>
      <c r="AA198">
        <v>1645.2287140693275</v>
      </c>
      <c r="AB198">
        <v>1165.48315192924</v>
      </c>
      <c r="AC198">
        <v>1.1424283411133249</v>
      </c>
      <c r="AD198">
        <v>1.1489304572480061</v>
      </c>
      <c r="AE198">
        <v>1.9921539215524415</v>
      </c>
      <c r="AF198">
        <v>9.7397781617577409E-2</v>
      </c>
      <c r="AG198">
        <v>0.35948950162488202</v>
      </c>
      <c r="AI198">
        <v>39.801868316064983</v>
      </c>
      <c r="AJ198">
        <v>24.777327356576794</v>
      </c>
      <c r="AK198">
        <v>25.345086968678913</v>
      </c>
      <c r="AM198">
        <v>5.9389807318218626</v>
      </c>
    </row>
    <row r="199" spans="20:39" x14ac:dyDescent="0.3">
      <c r="T199">
        <v>198</v>
      </c>
      <c r="U199">
        <v>19130.47809537108</v>
      </c>
      <c r="V199">
        <v>7.9192066117821245</v>
      </c>
      <c r="W199">
        <v>1013.5131117613545</v>
      </c>
      <c r="X199">
        <v>1.0811295898113</v>
      </c>
      <c r="Y199">
        <v>1.1460395740821867</v>
      </c>
      <c r="Z199">
        <v>13283.26661179947</v>
      </c>
      <c r="AA199">
        <v>1883.3068065599978</v>
      </c>
      <c r="AB199">
        <v>1089.8465360933512</v>
      </c>
      <c r="AC199">
        <v>1.12539739197585</v>
      </c>
      <c r="AD199">
        <v>1.0531254511594585</v>
      </c>
      <c r="AE199">
        <v>1.9863047641595857</v>
      </c>
      <c r="AF199">
        <v>0.11426840042508195</v>
      </c>
      <c r="AG199">
        <v>0.295395918703445</v>
      </c>
      <c r="AI199">
        <v>45.416884252834045</v>
      </c>
      <c r="AJ199">
        <v>27.706254258505467</v>
      </c>
      <c r="AK199">
        <v>30.106544152921387</v>
      </c>
      <c r="AM199">
        <v>5.9585391223153303</v>
      </c>
    </row>
    <row r="200" spans="20:39" x14ac:dyDescent="0.3">
      <c r="T200">
        <v>199</v>
      </c>
      <c r="U200">
        <v>18417.056575537368</v>
      </c>
      <c r="V200">
        <v>7.7008556113682589</v>
      </c>
      <c r="W200">
        <v>1025.9719898831754</v>
      </c>
      <c r="X200">
        <v>1.0889780482788411</v>
      </c>
      <c r="Y200">
        <v>1.0906882645570528</v>
      </c>
      <c r="Z200">
        <v>15027.529849889932</v>
      </c>
      <c r="AA200">
        <v>1996.2253193825497</v>
      </c>
      <c r="AB200">
        <v>1372.9642038868824</v>
      </c>
      <c r="AC200">
        <v>1.058802010205117</v>
      </c>
      <c r="AD200">
        <v>1.0647269574862921</v>
      </c>
      <c r="AE200">
        <v>2.0055246985092556</v>
      </c>
      <c r="AF200">
        <v>0.10213003623865947</v>
      </c>
      <c r="AG200">
        <v>0.30976765046446159</v>
      </c>
      <c r="AI200">
        <v>51.751668723921981</v>
      </c>
      <c r="AJ200">
        <v>30.903185821392952</v>
      </c>
      <c r="AK200">
        <v>20.303418630766657</v>
      </c>
      <c r="AM200">
        <v>5.9437572559597518</v>
      </c>
    </row>
    <row r="201" spans="20:39" x14ac:dyDescent="0.3">
      <c r="T201">
        <v>200</v>
      </c>
      <c r="U201">
        <v>19890.265466583529</v>
      </c>
      <c r="V201">
        <v>9.807997563327568</v>
      </c>
      <c r="W201">
        <v>1040.6395301473272</v>
      </c>
      <c r="X201">
        <v>1.1553377130113107</v>
      </c>
      <c r="Y201">
        <v>1.0871166684225519</v>
      </c>
      <c r="Z201">
        <v>13547.561965356203</v>
      </c>
      <c r="AA201">
        <v>2120.0367574527127</v>
      </c>
      <c r="AB201">
        <v>926.08101218044385</v>
      </c>
      <c r="AC201">
        <v>1.1184919543159295</v>
      </c>
      <c r="AD201">
        <v>1.1679936514992293</v>
      </c>
      <c r="AE201">
        <v>1.984261046582267</v>
      </c>
      <c r="AF201">
        <v>0.1043958098756587</v>
      </c>
      <c r="AG201">
        <v>0.27064841508285387</v>
      </c>
      <c r="AI201">
        <v>46.222366948153272</v>
      </c>
      <c r="AJ201">
        <v>25.113561228340419</v>
      </c>
      <c r="AK201">
        <v>34.811801298473682</v>
      </c>
      <c r="AM201">
        <v>6.0073449782935331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13</vt:i4>
      </vt:variant>
    </vt:vector>
  </HeadingPairs>
  <TitlesOfParts>
    <vt:vector size="15" baseType="lpstr">
      <vt:lpstr>Método dif finitas</vt:lpstr>
      <vt:lpstr>Monte Carlo Macro</vt:lpstr>
      <vt:lpstr>A_CI</vt:lpstr>
      <vt:lpstr>A_CT</vt:lpstr>
      <vt:lpstr>b_CI</vt:lpstr>
      <vt:lpstr>b_CT</vt:lpstr>
      <vt:lpstr>Blank_CI</vt:lpstr>
      <vt:lpstr>blank_CT</vt:lpstr>
      <vt:lpstr>F_dil</vt:lpstr>
      <vt:lpstr>F_MatrizCI</vt:lpstr>
      <vt:lpstr>F_MatrizCT</vt:lpstr>
      <vt:lpstr>F_RecupCI</vt:lpstr>
      <vt:lpstr>F_RecupCT</vt:lpstr>
      <vt:lpstr>m_CI</vt:lpstr>
      <vt:lpstr>m_CT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PC35</dc:creator>
  <cp:lastModifiedBy>PC32</cp:lastModifiedBy>
  <dcterms:created xsi:type="dcterms:W3CDTF">2021-02-28T23:32:24Z</dcterms:created>
  <dcterms:modified xsi:type="dcterms:W3CDTF">2022-10-09T16:15:01Z</dcterms:modified>
</cp:coreProperties>
</file>